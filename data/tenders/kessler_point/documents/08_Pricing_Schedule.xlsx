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A - Perimeter Intrusion Detecti" sheetId="3" state="visible" r:id="rId5"/>
    <sheet name="B - Video Surveillance System" sheetId="4" state="visible" r:id="rId6"/>
    <sheet name="C - Security Pre-Gate" sheetId="5" state="visible" r:id="rId7"/>
    <sheet name="D - Electronic Access Control" sheetId="6" state="visible" r:id="rId8"/>
    <sheet name="E - Vehicle Barriers and Gates" sheetId="7" state="visible" r:id="rId9"/>
    <sheet name="F - Security Operations Centre" sheetId="8" state="visible" r:id="rId10"/>
    <sheet name="G - Network and Cabling" sheetId="9" state="visible" r:id="rId11"/>
    <sheet name="H - Power" sheetId="10" state="visible" r:id="rId12"/>
    <sheet name="I - Civil and Builder's Work" sheetId="11" state="visible" r:id="rId13"/>
    <sheet name="J - Integration and Interfa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<sst xmlns="http://schemas.openxmlformats.org/spreadsheetml/2006/main" count="325" uniqueCount="154">
  <si>
    <t xml:space="preserve">ALDRIDGE HARBOR PORT AUTHORITY</t>
  </si>
  <si>
    <t xml:space="preserve">Kessler Point Marine Terminal — Perimeter Security, Access Control and Surveillance Systems</t>
  </si>
  <si>
    <t xml:space="preserve">DOCUMENT 8 OF 13 — PRICING SCHEDULE</t>
  </si>
  <si>
    <t xml:space="preserve">Solicitation AHPA-2026-IFB-0417  ·  Rev 0  ·  14 September 2026</t>
  </si>
  <si>
    <t xml:space="preserve">SENSITIVE SECURITY INFORMATION — 49 CFR PART 1520</t>
  </si>
  <si>
    <t xml:space="preserve">INSTRUCTIONS FOR COMPLETION</t>
  </si>
  <si>
    <t xml:space="preserve">1.  Complete one tab for each system, A through J. Enter values ONLY in the yellow cells.</t>
  </si>
  <si>
    <t xml:space="preserve">2.  Do not alter, insert or delete any row, column or tab. Do not overwrite any formula.</t>
  </si>
  <si>
    <t xml:space="preserve">3.  The Summary tab is calculated automatically from the system tabs. Do not type into it.</t>
  </si>
  <si>
    <t xml:space="preserve">4.  All prices shall be in United States dollars, exclusive of tax, and shall be firm for the bid validity period.</t>
  </si>
  <si>
    <t xml:space="preserve">5.  Each system tab carries one example row, shaded green, showing the expected format. Delete it before submission.</t>
  </si>
  <si>
    <t xml:space="preserve">6.  Prices shall include everything necessary for a complete and operational system, whether or not scheduled.</t>
  </si>
  <si>
    <t xml:space="preserve">7.  A Bidder offering an alternative under ITB-7 shall submit a SECOND, separately named copy of this workbook</t>
  </si>
  <si>
    <t xml:space="preserve">     for the alternative. The compliant offer shall be submitted in this workbook.</t>
  </si>
  <si>
    <t xml:space="preserve">8.  This workbook shall be submitted in Package B only. Under ITB-9.4 no pricing may appear in Package A or C.</t>
  </si>
  <si>
    <t xml:space="preserve">9.  Submit in both native .xlsx and PDF.</t>
  </si>
  <si>
    <t xml:space="preserve">LEGEND</t>
  </si>
  <si>
    <t xml:space="preserve">Yellow</t>
  </si>
  <si>
    <t xml:space="preserve">Bidder input — enter your price here</t>
  </si>
  <si>
    <t xml:space="preserve">Green</t>
  </si>
  <si>
    <t xml:space="preserve">Example row — delete before submission</t>
  </si>
  <si>
    <t xml:space="preserve">White</t>
  </si>
  <si>
    <t xml:space="preserve">Calculated — do not edit</t>
  </si>
  <si>
    <t xml:space="preserve">DOCUMENT 8 OF 13 — PRICING SCHEDULE — SUMMARY</t>
  </si>
  <si>
    <t xml:space="preserve">Bidder name:</t>
  </si>
  <si>
    <t xml:space="preserve">Date:</t>
  </si>
  <si>
    <t xml:space="preserve">Bidder document number:</t>
  </si>
  <si>
    <t xml:space="preserve">Offer type:</t>
  </si>
  <si>
    <t xml:space="preserve">COMPLIANT</t>
  </si>
  <si>
    <t xml:space="preserve">Ref</t>
  </si>
  <si>
    <t xml:space="preserve">System</t>
  </si>
  <si>
    <t xml:space="preserve">Lump sum (USD)</t>
  </si>
  <si>
    <t xml:space="preserve">A</t>
  </si>
  <si>
    <t xml:space="preserve">Perimeter Intrusion Detection System</t>
  </si>
  <si>
    <t xml:space="preserve">B</t>
  </si>
  <si>
    <t xml:space="preserve">Video Surveillance System</t>
  </si>
  <si>
    <t xml:space="preserve">C</t>
  </si>
  <si>
    <t xml:space="preserve">Security Pre-Gate</t>
  </si>
  <si>
    <t xml:space="preserve">D</t>
  </si>
  <si>
    <t xml:space="preserve">Electronic Access Control</t>
  </si>
  <si>
    <t xml:space="preserve">E</t>
  </si>
  <si>
    <t xml:space="preserve">Vehicle Barriers and Gates</t>
  </si>
  <si>
    <t xml:space="preserve">F</t>
  </si>
  <si>
    <t xml:space="preserve">Security Operations Centre</t>
  </si>
  <si>
    <t xml:space="preserve">G</t>
  </si>
  <si>
    <t xml:space="preserve">Network and Cabling</t>
  </si>
  <si>
    <t xml:space="preserve">H</t>
  </si>
  <si>
    <t xml:space="preserve">Power</t>
  </si>
  <si>
    <t xml:space="preserve">I</t>
  </si>
  <si>
    <t xml:space="preserve">Civil and Builder's Work</t>
  </si>
  <si>
    <t xml:space="preserve">J</t>
  </si>
  <si>
    <t xml:space="preserve">Integration and Interfaces</t>
  </si>
  <si>
    <t xml:space="preserve">SUBTOTAL — SYSTEMS</t>
  </si>
  <si>
    <t xml:space="preserve">Bonds and insurances</t>
  </si>
  <si>
    <t xml:space="preserve">Project management and site establishment</t>
  </si>
  <si>
    <t xml:space="preserve">Warranty and maintenance, 36 months</t>
  </si>
  <si>
    <t xml:space="preserve">Contingency and risk allowance</t>
  </si>
  <si>
    <t xml:space="preserve">TOTAL BID PRICE (USD)</t>
  </si>
  <si>
    <t xml:space="preserve">Authority's published budget (ITB-1.4)</t>
  </si>
  <si>
    <t xml:space="preserve">Variance to budget</t>
  </si>
  <si>
    <t xml:space="preserve">Note: budget figure is the Authority's published budget at ITB-1.4 and is entered here for the Bidder's reference only.</t>
  </si>
  <si>
    <t xml:space="preserve">DOCUMENT 8 — PRICING SCHEDULE — SYSTEM A: PERIMETER INTRUSION DETECTION SYSTEM</t>
  </si>
  <si>
    <t xml:space="preserve">Line</t>
  </si>
  <si>
    <t xml:space="preserve">Service element</t>
  </si>
  <si>
    <t xml:space="preserve">Notes</t>
  </si>
  <si>
    <t xml:space="preserve">Amount (USD)</t>
  </si>
  <si>
    <t xml:space="preserve">ex</t>
  </si>
  <si>
    <t xml:space="preserve">Equipment supply</t>
  </si>
  <si>
    <t xml:space="preserve">Example only — delete before submission</t>
  </si>
  <si>
    <t xml:space="preserve">A.1</t>
  </si>
  <si>
    <t xml:space="preserve">A.2</t>
  </si>
  <si>
    <t xml:space="preserve">Installation labour</t>
  </si>
  <si>
    <t xml:space="preserve">A.3</t>
  </si>
  <si>
    <t xml:space="preserve">Commissioning and testing</t>
  </si>
  <si>
    <t xml:space="preserve">A.4</t>
  </si>
  <si>
    <t xml:space="preserve">Design and engineering</t>
  </si>
  <si>
    <t xml:space="preserve">A.5</t>
  </si>
  <si>
    <t xml:space="preserve">Documentation and training</t>
  </si>
  <si>
    <t xml:space="preserve">A.6</t>
  </si>
  <si>
    <t xml:space="preserve">Subcontracted works</t>
  </si>
  <si>
    <t xml:space="preserve">TOTAL — SYSTEM A</t>
  </si>
  <si>
    <t xml:space="preserve">This total feeds the Summary tab automatically. Do not edit the Summary tab.</t>
  </si>
  <si>
    <t xml:space="preserve">DOCUMENT 8 — PRICING SCHEDULE — SYSTEM B: VIDEO SURVEILLANCE SYSTEM</t>
  </si>
  <si>
    <t xml:space="preserve">B.1</t>
  </si>
  <si>
    <t xml:space="preserve">B.2</t>
  </si>
  <si>
    <t xml:space="preserve">B.3</t>
  </si>
  <si>
    <t xml:space="preserve">B.4</t>
  </si>
  <si>
    <t xml:space="preserve">B.5</t>
  </si>
  <si>
    <t xml:space="preserve">B.6</t>
  </si>
  <si>
    <t xml:space="preserve">TOTAL — SYSTEM B</t>
  </si>
  <si>
    <t xml:space="preserve">DOCUMENT 8 — PRICING SCHEDULE — SYSTEM C: SECURITY PRE-GATE</t>
  </si>
  <si>
    <t xml:space="preserve">C.1</t>
  </si>
  <si>
    <t xml:space="preserve">C.2</t>
  </si>
  <si>
    <t xml:space="preserve">C.3</t>
  </si>
  <si>
    <t xml:space="preserve">C.4</t>
  </si>
  <si>
    <t xml:space="preserve">C.5</t>
  </si>
  <si>
    <t xml:space="preserve">C.6</t>
  </si>
  <si>
    <t xml:space="preserve">TOTAL — SYSTEM C</t>
  </si>
  <si>
    <t xml:space="preserve">DOCUMENT 8 — PRICING SCHEDULE — SYSTEM D: ELECTRONIC ACCESS CONTROL</t>
  </si>
  <si>
    <t xml:space="preserve">D.1</t>
  </si>
  <si>
    <t xml:space="preserve">D.2</t>
  </si>
  <si>
    <t xml:space="preserve">D.3</t>
  </si>
  <si>
    <t xml:space="preserve">D.4</t>
  </si>
  <si>
    <t xml:space="preserve">D.5</t>
  </si>
  <si>
    <t xml:space="preserve">D.6</t>
  </si>
  <si>
    <t xml:space="preserve">TOTAL — SYSTEM D</t>
  </si>
  <si>
    <t xml:space="preserve">DOCUMENT 8 — PRICING SCHEDULE — SYSTEM E: VEHICLE BARRIERS AND GATES</t>
  </si>
  <si>
    <t xml:space="preserve">E.1</t>
  </si>
  <si>
    <t xml:space="preserve">E.2</t>
  </si>
  <si>
    <t xml:space="preserve">E.3</t>
  </si>
  <si>
    <t xml:space="preserve">E.4</t>
  </si>
  <si>
    <t xml:space="preserve">E.5</t>
  </si>
  <si>
    <t xml:space="preserve">E.6</t>
  </si>
  <si>
    <t xml:space="preserve">TOTAL — SYSTEM E</t>
  </si>
  <si>
    <t xml:space="preserve">DOCUMENT 8 — PRICING SCHEDULE — SYSTEM F: SECURITY OPERATIONS CENTRE</t>
  </si>
  <si>
    <t xml:space="preserve">F.1</t>
  </si>
  <si>
    <t xml:space="preserve">F.2</t>
  </si>
  <si>
    <t xml:space="preserve">F.3</t>
  </si>
  <si>
    <t xml:space="preserve">F.4</t>
  </si>
  <si>
    <t xml:space="preserve">F.5</t>
  </si>
  <si>
    <t xml:space="preserve">F.6</t>
  </si>
  <si>
    <t xml:space="preserve">TOTAL — SYSTEM F</t>
  </si>
  <si>
    <t xml:space="preserve">DOCUMENT 8 — PRICING SCHEDULE — SYSTEM G: NETWORK AND CABLING</t>
  </si>
  <si>
    <t xml:space="preserve">G.1</t>
  </si>
  <si>
    <t xml:space="preserve">G.2</t>
  </si>
  <si>
    <t xml:space="preserve">G.3</t>
  </si>
  <si>
    <t xml:space="preserve">G.4</t>
  </si>
  <si>
    <t xml:space="preserve">G.5</t>
  </si>
  <si>
    <t xml:space="preserve">G.6</t>
  </si>
  <si>
    <t xml:space="preserve">TOTAL — SYSTEM G</t>
  </si>
  <si>
    <t xml:space="preserve">DOCUMENT 8 — PRICING SCHEDULE — SYSTEM H: POWER</t>
  </si>
  <si>
    <t xml:space="preserve">H.1</t>
  </si>
  <si>
    <t xml:space="preserve">H.2</t>
  </si>
  <si>
    <t xml:space="preserve">H.3</t>
  </si>
  <si>
    <t xml:space="preserve">H.4</t>
  </si>
  <si>
    <t xml:space="preserve">H.5</t>
  </si>
  <si>
    <t xml:space="preserve">H.6</t>
  </si>
  <si>
    <t xml:space="preserve">TOTAL — SYSTEM H</t>
  </si>
  <si>
    <t xml:space="preserve">DOCUMENT 8 — PRICING SCHEDULE — SYSTEM I: CIVIL AND BUILDER'S WORK</t>
  </si>
  <si>
    <t xml:space="preserve">I.1</t>
  </si>
  <si>
    <t xml:space="preserve">I.2</t>
  </si>
  <si>
    <t xml:space="preserve">I.3</t>
  </si>
  <si>
    <t xml:space="preserve">I.4</t>
  </si>
  <si>
    <t xml:space="preserve">I.5</t>
  </si>
  <si>
    <t xml:space="preserve">I.6</t>
  </si>
  <si>
    <t xml:space="preserve">TOTAL — SYSTEM I</t>
  </si>
  <si>
    <t xml:space="preserve">DOCUMENT 8 — PRICING SCHEDULE — SYSTEM J: INTEGRATION AND INTERFACES</t>
  </si>
  <si>
    <t xml:space="preserve">J.1</t>
  </si>
  <si>
    <t xml:space="preserve">J.2</t>
  </si>
  <si>
    <t xml:space="preserve">J.3</t>
  </si>
  <si>
    <t xml:space="preserve">J.4</t>
  </si>
  <si>
    <t xml:space="preserve">J.5</t>
  </si>
  <si>
    <t xml:space="preserve">J.6</t>
  </si>
  <si>
    <t xml:space="preserve">TOTAL — SYSTEM J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</si>
</sst>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5" t="s">
        <v>6</v>
      </c>
    </row>
    <row r="11" customFormat="false" ht="15" hidden="false" customHeight="false" outlineLevel="0" collapsed="false">
      <c r="A11" s="5" t="s">
        <v>7</v>
      </c>
    </row>
    <row r="12" customFormat="false" ht="15" hidden="false" customHeight="false" outlineLevel="0" collapsed="false">
      <c r="A12" s="5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6" t="s">
        <v>17</v>
      </c>
      <c r="B23" s="5" t="s">
        <v>18</v>
      </c>
    </row>
    <row r="24" customFormat="false" ht="15" hidden="false" customHeight="false" outlineLevel="0" collapsed="false">
      <c r="A24" s="7" t="s">
        <v>19</v>
      </c>
      <c r="B24" s="5" t="s">
        <v>20</v>
      </c>
    </row>
    <row r="25" customFormat="false" ht="15" hidden="false" customHeight="false" outlineLevel="0" collapsed="false">
      <c r="A25" s="2" t="s">
        <v>21</v>
      </c>
      <c r="B25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2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15" hidden="false" customHeight="false" outlineLevel="0" collapsed="false">
      <c r="A7" s="2" t="s">
        <v>24</v>
      </c>
      <c r="B7" s="8"/>
    </row>
    <row r="8" customFormat="false" ht="15" hidden="false" customHeight="false" outlineLevel="0" collapsed="false">
      <c r="A8" s="2" t="s">
        <v>25</v>
      </c>
      <c r="B8" s="8"/>
    </row>
    <row r="9" customFormat="false" ht="15" hidden="false" customHeight="false" outlineLevel="0" collapsed="false">
      <c r="A9" s="2" t="s">
        <v>26</v>
      </c>
      <c r="B9" s="8"/>
    </row>
    <row r="10" customFormat="false" ht="15" hidden="false" customHeight="false" outlineLevel="0" collapsed="false">
      <c r="A10" s="2" t="s">
        <v>27</v>
      </c>
      <c r="B10" s="2" t="s">
        <v>28</v>
      </c>
    </row>
    <row r="12" customFormat="false" ht="31.5" hidden="false" customHeight="true" outlineLevel="0" collapsed="false">
      <c r="A12" s="9" t="s">
        <v>29</v>
      </c>
      <c r="B12" s="9" t="s">
        <v>30</v>
      </c>
      <c r="C12" s="9" t="s">
        <v>31</v>
      </c>
    </row>
    <row r="13" customFormat="false" ht="15" hidden="false" customHeight="false" outlineLevel="0" collapsed="false">
      <c r="A13" s="10" t="s">
        <v>32</v>
      </c>
      <c r="B13" s="10" t="s">
        <v>33</v>
      </c>
      <c r="C13" s="11" t="n">
        <f aca="false">'A - Perimeter Intrusion Detecti'!D15</f>
        <v>0</v>
      </c>
    </row>
    <row r="14" customFormat="false" ht="15" hidden="false" customHeight="false" outlineLevel="0" collapsed="false">
      <c r="A14" s="10" t="s">
        <v>34</v>
      </c>
      <c r="B14" s="10" t="s">
        <v>35</v>
      </c>
      <c r="C14" s="11" t="n">
        <f aca="false">'B - Video Surveillance System'!D15</f>
        <v>0</v>
      </c>
    </row>
    <row r="15" customFormat="false" ht="15" hidden="false" customHeight="false" outlineLevel="0" collapsed="false">
      <c r="A15" s="10" t="s">
        <v>36</v>
      </c>
      <c r="B15" s="10" t="s">
        <v>37</v>
      </c>
      <c r="C15" s="11" t="n">
        <f aca="false">'C - Security Pre-Gate'!D15</f>
        <v>0</v>
      </c>
    </row>
    <row r="16" customFormat="false" ht="15" hidden="false" customHeight="false" outlineLevel="0" collapsed="false">
      <c r="A16" s="10" t="s">
        <v>38</v>
      </c>
      <c r="B16" s="10" t="s">
        <v>39</v>
      </c>
      <c r="C16" s="11" t="n">
        <f aca="false">'D - Electronic Access Control'!D15</f>
        <v>0</v>
      </c>
    </row>
    <row r="17" customFormat="false" ht="15" hidden="false" customHeight="false" outlineLevel="0" collapsed="false">
      <c r="A17" s="10" t="s">
        <v>40</v>
      </c>
      <c r="B17" s="10" t="s">
        <v>41</v>
      </c>
      <c r="C17" s="11" t="n">
        <f aca="false">'E - Vehicle Barriers and Gates'!D15</f>
        <v>0</v>
      </c>
    </row>
    <row r="18" customFormat="false" ht="15" hidden="false" customHeight="false" outlineLevel="0" collapsed="false">
      <c r="A18" s="10" t="s">
        <v>42</v>
      </c>
      <c r="B18" s="10" t="s">
        <v>43</v>
      </c>
      <c r="C18" s="11" t="n">
        <f aca="false">'F - Security Operations Centre'!D15</f>
        <v>0</v>
      </c>
    </row>
    <row r="19" customFormat="false" ht="15" hidden="false" customHeight="false" outlineLevel="0" collapsed="false">
      <c r="A19" s="10" t="s">
        <v>44</v>
      </c>
      <c r="B19" s="10" t="s">
        <v>45</v>
      </c>
      <c r="C19" s="11" t="n">
        <f aca="false">'G - Network and Cabling'!D15</f>
        <v>0</v>
      </c>
    </row>
    <row r="20" customFormat="false" ht="15" hidden="false" customHeight="false" outlineLevel="0" collapsed="false">
      <c r="A20" s="10" t="s">
        <v>46</v>
      </c>
      <c r="B20" s="10" t="s">
        <v>47</v>
      </c>
      <c r="C20" s="11" t="n">
        <f aca="false">'H - Power'!D15</f>
        <v>0</v>
      </c>
    </row>
    <row r="21" customFormat="false" ht="15" hidden="false" customHeight="false" outlineLevel="0" collapsed="false">
      <c r="A21" s="10" t="s">
        <v>48</v>
      </c>
      <c r="B21" s="10" t="s">
        <v>49</v>
      </c>
      <c r="C21" s="11" t="n">
        <f aca="false">'I - Civil and Builder''s Work'!D15</f>
        <v>0</v>
      </c>
    </row>
    <row r="22" customFormat="false" ht="15" hidden="false" customHeight="false" outlineLevel="0" collapsed="false">
      <c r="A22" s="10" t="s">
        <v>50</v>
      </c>
      <c r="B22" s="10" t="s">
        <v>51</v>
      </c>
      <c r="C22" s="11" t="n">
        <f aca="false">'J - Integration and Interfaces'!D15</f>
        <v>0</v>
      </c>
    </row>
    <row r="23" customFormat="false" ht="15" hidden="false" customHeight="false" outlineLevel="0" collapsed="false">
      <c r="B23" s="2" t="s">
        <v>52</v>
      </c>
      <c r="C23" s="12" t="n">
        <f aca="false">SUM(C13:C22)</f>
        <v>0</v>
      </c>
    </row>
    <row r="24" customFormat="false" ht="15" hidden="false" customHeight="false" outlineLevel="0" collapsed="false">
      <c r="B24" s="10" t="s">
        <v>53</v>
      </c>
      <c r="C24" s="13"/>
    </row>
    <row r="25" customFormat="false" ht="15" hidden="false" customHeight="false" outlineLevel="0" collapsed="false">
      <c r="B25" s="10" t="s">
        <v>54</v>
      </c>
      <c r="C25" s="13"/>
    </row>
    <row r="26" customFormat="false" ht="15" hidden="false" customHeight="false" outlineLevel="0" collapsed="false">
      <c r="B26" s="10" t="s">
        <v>55</v>
      </c>
      <c r="C26" s="13"/>
    </row>
    <row r="27" customFormat="false" ht="15" hidden="false" customHeight="false" outlineLevel="0" collapsed="false">
      <c r="B27" s="10" t="s">
        <v>56</v>
      </c>
      <c r="C27" s="13"/>
    </row>
    <row r="28" customFormat="false" ht="15" hidden="false" customHeight="false" outlineLevel="0" collapsed="false">
      <c r="B28" s="14" t="s">
        <v>57</v>
      </c>
      <c r="C28" s="15" t="n">
        <f aca="false">C23+SUM(C24:C27)</f>
        <v>0</v>
      </c>
    </row>
    <row r="30" customFormat="false" ht="15" hidden="false" customHeight="false" outlineLevel="0" collapsed="false">
      <c r="B30" s="16" t="s">
        <v>58</v>
      </c>
      <c r="C30" s="17" t="n">
        <v>15000000</v>
      </c>
    </row>
    <row r="31" customFormat="false" ht="15" hidden="false" customHeight="false" outlineLevel="0" collapsed="false">
      <c r="B31" s="16" t="s">
        <v>59</v>
      </c>
      <c r="C31" s="12" t="n">
        <f aca="false">C28-C30</f>
        <v>-15000000</v>
      </c>
    </row>
    <row r="33" customFormat="false" ht="15" hidden="false" customHeight="false" outlineLevel="0" collapsed="false">
      <c r="B33" s="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61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69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70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72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74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76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78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80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82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83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84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85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86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87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88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89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90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91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92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93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94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95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96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97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98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99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100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101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102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103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104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105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106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107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108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109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110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111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112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113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114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115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116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117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118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119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120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121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122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123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124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125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126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127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128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129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130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131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132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133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134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135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136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137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138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139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140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141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142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143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144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145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146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31.5" hidden="false" customHeight="true" outlineLevel="0" collapsed="false">
      <c r="A7" s="9" t="s">
        <v>62</v>
      </c>
      <c r="B7" s="9" t="s">
        <v>63</v>
      </c>
      <c r="C7" s="9" t="s">
        <v>64</v>
      </c>
      <c r="D7" s="9" t="s">
        <v>65</v>
      </c>
    </row>
    <row r="8" customFormat="false" ht="15" hidden="false" customHeight="false" outlineLevel="0" collapsed="false">
      <c r="A8" s="18" t="s">
        <v>66</v>
      </c>
      <c r="B8" s="18" t="s">
        <v>67</v>
      </c>
      <c r="C8" s="18" t="s">
        <v>68</v>
      </c>
      <c r="D8" s="19" t="n">
        <v>1250000</v>
      </c>
    </row>
    <row r="9" customFormat="false" ht="15" hidden="false" customHeight="false" outlineLevel="0" collapsed="false">
      <c r="A9" s="10" t="s">
        <v>147</v>
      </c>
      <c r="B9" s="10" t="s">
        <v>67</v>
      </c>
      <c r="C9" s="8"/>
      <c r="D9" s="13"/>
    </row>
    <row r="10" customFormat="false" ht="15" hidden="false" customHeight="false" outlineLevel="0" collapsed="false">
      <c r="A10" s="10" t="s">
        <v>148</v>
      </c>
      <c r="B10" s="10" t="s">
        <v>71</v>
      </c>
      <c r="C10" s="8"/>
      <c r="D10" s="13"/>
    </row>
    <row r="11" customFormat="false" ht="15" hidden="false" customHeight="false" outlineLevel="0" collapsed="false">
      <c r="A11" s="10" t="s">
        <v>149</v>
      </c>
      <c r="B11" s="10" t="s">
        <v>73</v>
      </c>
      <c r="C11" s="8"/>
      <c r="D11" s="13"/>
    </row>
    <row r="12" customFormat="false" ht="15" hidden="false" customHeight="false" outlineLevel="0" collapsed="false">
      <c r="A12" s="10" t="s">
        <v>150</v>
      </c>
      <c r="B12" s="10" t="s">
        <v>75</v>
      </c>
      <c r="C12" s="8"/>
      <c r="D12" s="13"/>
    </row>
    <row r="13" customFormat="false" ht="15" hidden="false" customHeight="false" outlineLevel="0" collapsed="false">
      <c r="A13" s="10" t="s">
        <v>151</v>
      </c>
      <c r="B13" s="10" t="s">
        <v>77</v>
      </c>
      <c r="C13" s="8"/>
      <c r="D13" s="13"/>
    </row>
    <row r="14" customFormat="false" ht="15" hidden="false" customHeight="false" outlineLevel="0" collapsed="false">
      <c r="A14" s="10" t="s">
        <v>152</v>
      </c>
      <c r="B14" s="10" t="s">
        <v>79</v>
      </c>
      <c r="C14" s="8"/>
      <c r="D14" s="13"/>
    </row>
    <row r="15" customFormat="false" ht="15" hidden="false" customHeight="false" outlineLevel="0" collapsed="false">
      <c r="B15" s="20" t="s">
        <v>153</v>
      </c>
      <c r="D15" s="21" t="n">
        <f aca="false">SUM(D9:D14)</f>
        <v>0</v>
      </c>
    </row>
    <row r="17" customFormat="false" ht="15" hidden="false" customHeight="false" outlineLevel="0" collapsed="false">
      <c r="B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2026-09-12T21:36:45Z</dcterms:created>
  <dc:creator>openpyxl</dc:creator>
  <dc:description/>
  <dc:language>en-US</dc:language>
  <cp:lastModifiedBy/>
  <dcterms:modified xsi:type="dcterms:W3CDTF">2026-09-12T21:36:45Z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