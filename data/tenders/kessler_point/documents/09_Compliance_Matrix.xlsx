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lines" sheetId="1" state="visible" r:id="rId1"/>
    <sheet xmlns:r="http://schemas.openxmlformats.org/officeDocument/2006/relationships" name="Compliance Matrix"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3"/>
    </font>
    <font>
      <name val="Arial"/>
      <b val="1"/>
      <sz val="10"/>
    </font>
    <font>
      <name val="Arial"/>
      <i val="1"/>
      <sz val="9"/>
    </font>
    <font>
      <name val="Arial"/>
      <b val="1"/>
      <color rgb="00C00000"/>
      <sz val="9"/>
    </font>
    <font>
      <name val="Arial"/>
      <sz val="10"/>
    </font>
    <font>
      <name val="Arial"/>
      <b val="1"/>
      <color rgb="00FFFFFF"/>
      <sz val="10"/>
    </font>
    <font>
      <name val="Arial"/>
      <i val="1"/>
      <sz val="10"/>
    </font>
  </fonts>
  <fills count="6">
    <fill>
      <patternFill/>
    </fill>
    <fill>
      <patternFill patternType="gray125"/>
    </fill>
    <fill>
      <patternFill patternType="solid">
        <fgColor rgb="00FFFF00"/>
      </patternFill>
    </fill>
    <fill>
      <patternFill patternType="solid">
        <fgColor rgb="001F3864"/>
      </patternFill>
    </fill>
    <fill>
      <patternFill patternType="solid">
        <fgColor rgb="00E2EFDA"/>
      </patternFill>
    </fill>
    <fill>
      <patternFill patternType="solid">
        <fgColor rgb="00D9E2F3"/>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0" fillId="2" borderId="1" pivotButton="0" quotePrefix="0" xfId="0"/>
    <xf numFmtId="0" fontId="6" fillId="3" borderId="1" applyAlignment="1" pivotButton="0" quotePrefix="0" xfId="0">
      <alignment horizontal="center" vertical="center" wrapText="1"/>
    </xf>
    <xf numFmtId="0" fontId="7" fillId="4" borderId="1" pivotButton="0" quotePrefix="0" xfId="0"/>
    <xf numFmtId="0" fontId="2" fillId="5" borderId="1" pivotButton="0" quotePrefix="0" xfId="0"/>
    <xf numFmtId="0" fontId="0" fillId="5" borderId="1" pivotButton="0" quotePrefix="0" xfId="0"/>
    <xf numFmtId="0" fontId="5" fillId="0" borderId="1" pivotButton="0" quotePrefix="0" xfId="0"/>
    <xf numFmtId="0" fontId="5" fillId="0" borderId="1" applyAlignment="1" pivotButton="0" quotePrefix="0" xfId="0">
      <alignment vertical="top" wrapText="1"/>
    </xf>
    <xf numFmtId="0" fontId="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15" customWidth="1" min="1" max="1"/>
  </cols>
  <sheetData>
    <row r="1">
      <c r="A1" s="1" t="inlineStr">
        <is>
          <t>ALDRIDGE HARBOR PORT AUTHORITY</t>
        </is>
      </c>
    </row>
    <row r="2">
      <c r="A2" s="2" t="inlineStr">
        <is>
          <t>Kessler Point Marine Terminal — Perimeter Security, Access Control and Surveillance Systems</t>
        </is>
      </c>
    </row>
    <row r="3">
      <c r="A3" s="2" t="inlineStr">
        <is>
          <t>DOCUMENT 9 OF 13 — COMPLIANCE MATRIX</t>
        </is>
      </c>
    </row>
    <row r="4">
      <c r="A4" s="3" t="inlineStr">
        <is>
          <t>Solicitation AHPA-2026-IFB-0417  ·  Rev 0  ·  14 September 2026</t>
        </is>
      </c>
    </row>
    <row r="5">
      <c r="A5" s="4" t="inlineStr">
        <is>
          <t>SENSITIVE SECURITY INFORMATION — 49 CFR PART 1520</t>
        </is>
      </c>
    </row>
    <row r="7">
      <c r="A7" s="5" t="inlineStr"/>
    </row>
    <row r="8">
      <c r="A8" s="2" t="inlineStr">
        <is>
          <t>GUIDELINES FOR COMPLETION</t>
        </is>
      </c>
    </row>
    <row r="9">
      <c r="A9" s="5" t="inlineStr"/>
    </row>
    <row r="10">
      <c r="A10" s="5" t="inlineStr">
        <is>
          <t>1.  The Bidder shall complete the header block on the Compliance Matrix tab in full:</t>
        </is>
      </c>
    </row>
    <row r="11">
      <c r="A11" s="5" t="inlineStr">
        <is>
          <t xml:space="preserve">     Bidder name, date, Bidder's unique document number, and revision.</t>
        </is>
      </c>
    </row>
    <row r="12">
      <c r="A12" s="5" t="inlineStr"/>
    </row>
    <row r="13">
      <c r="A13" s="5" t="inlineStr">
        <is>
          <t>2.  For each requirement the Bidder shall enter in the COMPLY column either YES or NO.</t>
        </is>
      </c>
    </row>
    <row r="14">
      <c r="A14" s="5" t="inlineStr">
        <is>
          <t xml:space="preserve">     No other entry is permitted. Under ITB-2.3 a YES shall not be qualified.</t>
        </is>
      </c>
    </row>
    <row r="15">
      <c r="A15" s="5" t="inlineStr"/>
    </row>
    <row r="16">
      <c r="A16" s="5" t="inlineStr">
        <is>
          <t>3.  Where COMPLY is YES, the Bidder shall enter in the COMMENTS column a reference to the</t>
        </is>
      </c>
    </row>
    <row r="17">
      <c r="A17" s="5" t="inlineStr">
        <is>
          <t xml:space="preserve">     specific page and section of its Technical Proposal at which the response to the requirement</t>
        </is>
      </c>
    </row>
    <row r="18">
      <c r="A18" s="5" t="inlineStr">
        <is>
          <t xml:space="preserve">     is provided. The reference shall be in the form:   TP Section 4.3.2, page 61</t>
        </is>
      </c>
    </row>
    <row r="19">
      <c r="A19" s="5" t="inlineStr"/>
    </row>
    <row r="20">
      <c r="A20" s="5" t="inlineStr">
        <is>
          <t>4.  Where COMPLY is NO, the Bidder shall state in the COMMENTS column the extent of and reason</t>
        </is>
      </c>
    </row>
    <row r="21">
      <c r="A21" s="5" t="inlineStr">
        <is>
          <t xml:space="preserve">     for the non-compliance, and shall cross-refer to any alternative proposal offered under ITB-7.</t>
        </is>
      </c>
    </row>
    <row r="22">
      <c r="A22" s="5" t="inlineStr"/>
    </row>
    <row r="23">
      <c r="A23" s="5" t="inlineStr">
        <is>
          <t>5.  A YES without a Technical Proposal reference shall be treated as a NO.</t>
        </is>
      </c>
    </row>
    <row r="24">
      <c r="A24" s="5" t="inlineStr"/>
    </row>
    <row r="25">
      <c r="A25" s="5" t="inlineStr">
        <is>
          <t>6.  The Bidder shall not add, delete, renumber or reword any row. The requirement text in the</t>
        </is>
      </c>
    </row>
    <row r="26">
      <c r="A26" s="5" t="inlineStr">
        <is>
          <t xml:space="preserve">     DESCRIPTION column is the Authority's text and shall not be altered.</t>
        </is>
      </c>
    </row>
    <row r="27">
      <c r="A27" s="5" t="inlineStr"/>
    </row>
    <row r="28">
      <c r="A28" s="5" t="inlineStr">
        <is>
          <t>7.  This matrix shall be submitted in Package A in both native .xlsx and PDF.</t>
        </is>
      </c>
    </row>
    <row r="29">
      <c r="A29" s="5" t="inlineStr"/>
    </row>
    <row r="30">
      <c r="A30" s="5" t="inlineStr">
        <is>
          <t>8.  A Bidder offering an alternative under ITB-7 shall submit a second, separately named copy of</t>
        </is>
      </c>
    </row>
    <row r="31">
      <c r="A31" s="5" t="inlineStr">
        <is>
          <t xml:space="preserve">     this matrix for the alternative offer.</t>
        </is>
      </c>
    </row>
    <row r="32">
      <c r="A32" s="5" t="inlineStr"/>
    </row>
    <row r="33">
      <c r="A33" s="5" t="inlineStr">
        <is>
          <t>9.  This matrix is provided for the Bidder's convenience. It does not limit the requirements of the</t>
        </is>
      </c>
    </row>
    <row r="34">
      <c r="A34" s="5" t="inlineStr">
        <is>
          <t xml:space="preserve">     solicitation, and completion of the matrix does not relieve the Bidder of any obligation under</t>
        </is>
      </c>
    </row>
    <row r="35">
      <c r="A35" s="5" t="inlineStr">
        <is>
          <t xml:space="preserve">     any Contract Document.</t>
        </is>
      </c>
    </row>
    <row r="36">
      <c r="A36" s="5" t="inlineStr"/>
    </row>
    <row r="37">
      <c r="A37" s="5" t="inlineStr">
        <is>
          <t>10. This matrix covers the requirements of Documents 4, 5 and 6. Requirements arising under</t>
        </is>
      </c>
    </row>
    <row r="38">
      <c r="A38" s="5" t="inlineStr">
        <is>
          <t xml:space="preserve">     Documents 1, 2, 3 and the Annexes are not reproduced here and shall be addressed in the</t>
        </is>
      </c>
    </row>
    <row r="39">
      <c r="A39" s="5" t="inlineStr">
        <is>
          <t xml:space="preserve">     Bidder's Technical Proposal and its schedule of exceptions.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5"/>
  <sheetViews>
    <sheetView workbookViewId="0">
      <pane ySplit="12" topLeftCell="A13" activePane="bottomLeft" state="frozen"/>
      <selection pane="bottomLeft" activeCell="A1" sqref="A1"/>
    </sheetView>
  </sheetViews>
  <sheetFormatPr baseColWidth="8" defaultRowHeight="15"/>
  <cols>
    <col width="14" customWidth="1" min="1" max="1"/>
    <col width="92" customWidth="1" min="2" max="2"/>
    <col width="13" customWidth="1" min="3" max="3"/>
    <col width="48" customWidth="1" min="4" max="4"/>
  </cols>
  <sheetData>
    <row r="1">
      <c r="A1" s="1" t="inlineStr">
        <is>
          <t>ALDRIDGE HARBOR PORT AUTHORITY</t>
        </is>
      </c>
    </row>
    <row r="2">
      <c r="A2" s="2" t="inlineStr">
        <is>
          <t>Kessler Point Marine Terminal — Perimeter Security, Access Control and Surveillance Systems</t>
        </is>
      </c>
    </row>
    <row r="3">
      <c r="A3" s="2" t="inlineStr">
        <is>
          <t>DOCUMENT 9 OF 13 — COMPLIANCE MATRIX</t>
        </is>
      </c>
    </row>
    <row r="4">
      <c r="A4" s="3" t="inlineStr">
        <is>
          <t>Solicitation AHPA-2026-IFB-0417  ·  Rev 0  ·  14 September 2026</t>
        </is>
      </c>
    </row>
    <row r="5">
      <c r="A5" s="4" t="inlineStr">
        <is>
          <t>SENSITIVE SECURITY INFORMATION — 49 CFR PART 1520</t>
        </is>
      </c>
    </row>
    <row r="7">
      <c r="A7" s="2" t="inlineStr">
        <is>
          <t>Bidder name:</t>
        </is>
      </c>
      <c r="B7" s="6" t="n"/>
    </row>
    <row r="8">
      <c r="A8" s="2" t="inlineStr">
        <is>
          <t>Date:</t>
        </is>
      </c>
      <c r="B8" s="6" t="n"/>
    </row>
    <row r="9">
      <c r="A9" s="2" t="inlineStr">
        <is>
          <t>Bidder document number:</t>
        </is>
      </c>
      <c r="B9" s="6" t="n"/>
    </row>
    <row r="10">
      <c r="A10" s="2" t="inlineStr">
        <is>
          <t>Revision:</t>
        </is>
      </c>
      <c r="B10" s="6" t="n"/>
    </row>
    <row r="12" ht="34" customHeight="1">
      <c r="A12" s="7" t="inlineStr">
        <is>
          <t>Num</t>
        </is>
      </c>
      <c r="B12" s="7" t="inlineStr">
        <is>
          <t>Description</t>
        </is>
      </c>
      <c r="C12" s="7" t="inlineStr">
        <is>
          <t>Comply
(Yes / No)</t>
        </is>
      </c>
      <c r="D12" s="7" t="inlineStr">
        <is>
          <t>Comments
(reference to Technical Proposal section and page)</t>
        </is>
      </c>
    </row>
    <row r="13">
      <c r="A13" s="8" t="inlineStr">
        <is>
          <t>TS-x.x</t>
        </is>
      </c>
      <c r="B13" s="8" t="inlineStr">
        <is>
          <t>Example row — delete before submission.</t>
        </is>
      </c>
      <c r="C13" s="8" t="inlineStr">
        <is>
          <t>Yes</t>
        </is>
      </c>
      <c r="D13" s="8" t="inlineStr">
        <is>
          <t>TP Section 4.3.2, page 61</t>
        </is>
      </c>
    </row>
    <row r="14">
      <c r="A14" s="9" t="inlineStr">
        <is>
          <t>DOCUMENT 4 — TECHNICAL SPECIFICATION</t>
        </is>
      </c>
      <c r="B14" s="10" t="n"/>
      <c r="C14" s="10" t="n"/>
      <c r="D14" s="10" t="n"/>
    </row>
    <row r="15">
      <c r="A15" s="9" t="inlineStr">
        <is>
          <t>TS — 1. GENERAL TECHNICAL REQUIREMENTS</t>
        </is>
      </c>
      <c r="B15" s="10" t="n"/>
      <c r="C15" s="10" t="n"/>
      <c r="D15" s="10" t="n"/>
    </row>
    <row r="16">
      <c r="A16" s="11" t="inlineStr">
        <is>
          <t>TS-1.1</t>
        </is>
      </c>
      <c r="B16" s="12" t="inlineStr">
        <is>
          <t>All equipment shall be new, unused, of current manufacture, and shall not be scheduled for end of production or end of support within five (5) years of Final Acceptance.</t>
        </is>
      </c>
      <c r="C16" s="6" t="n"/>
      <c r="D16" s="13" t="n"/>
    </row>
    <row r="17">
      <c r="A17" s="11" t="inlineStr">
        <is>
          <t>TS-1.2</t>
        </is>
      </c>
      <c r="B17" s="12" t="inlineStr">
        <is>
          <t>All equipment installed externally shall be rated for the marine environment described at Annex A, including salt spray, wind-driven rain and chloride exposure, and shall be suitable for continuous exposure to atmospheric corrosivity category C5-M to ISO 9223.</t>
        </is>
      </c>
      <c r="C17" s="6" t="n"/>
      <c r="D17" s="13" t="n"/>
    </row>
    <row r="18">
      <c r="A18" s="11" t="inlineStr">
        <is>
          <t>TS-1.3</t>
        </is>
      </c>
      <c r="B18" s="12" t="inlineStr">
        <is>
          <t>All equipment shall comply with the standards scheduled at Annex B.</t>
        </is>
      </c>
      <c r="C18" s="6" t="n"/>
      <c r="D18" s="13" t="n"/>
    </row>
    <row r="19">
      <c r="A19" s="11" t="inlineStr">
        <is>
          <t>TS-1.4</t>
        </is>
      </c>
      <c r="B19" s="12" t="inlineStr">
        <is>
          <t>No equipment, system, component or service produced or provided by an entity named at ITB-12.2, or by any subsidiary or affiliate of such an entity, shall be supplied. This prohibition applies to original equipment manufacturer supply to another brand.</t>
        </is>
      </c>
      <c r="C19" s="6" t="n"/>
      <c r="D19" s="13" t="n"/>
    </row>
    <row r="20">
      <c r="A20" s="11" t="inlineStr">
        <is>
          <t>TS-1.6</t>
        </is>
      </c>
      <c r="B20" s="12" t="inlineStr">
        <is>
          <t>All systems shall be capable of operation at MARSEC Levels 1, 2 and 3, and shall support escalation of security measures at each level without hardware change.</t>
        </is>
      </c>
      <c r="C20" s="6" t="n"/>
      <c r="D20" s="13" t="n"/>
    </row>
    <row r="21">
      <c r="A21" s="11" t="inlineStr">
        <is>
          <t>TS-1.7</t>
        </is>
      </c>
      <c r="B21" s="12" t="inlineStr">
        <is>
          <t>All systems will provide a means of recording operator actions for audit purposes.</t>
        </is>
      </c>
      <c r="C21" s="6" t="n"/>
      <c r="D21" s="13" t="n"/>
    </row>
    <row r="22">
      <c r="A22" s="11" t="inlineStr">
        <is>
          <t>TS-1.8</t>
        </is>
      </c>
      <c r="B22" s="12" t="inlineStr">
        <is>
          <t>The systems shall present a unified operator interface. Operators shall not be required to use more than one application in normal operation.</t>
        </is>
      </c>
      <c r="C22" s="6" t="n"/>
      <c r="D22" s="13" t="n"/>
    </row>
    <row r="23">
      <c r="A23" s="11" t="inlineStr">
        <is>
          <t>TS-1.9</t>
        </is>
      </c>
      <c r="B23" s="12" t="inlineStr">
        <is>
          <t>All externally mounted equipment shall be supplied with stainless steel grade 316 fixings. Dissimilar metal contact shall be isolated.</t>
        </is>
      </c>
      <c r="C23" s="6" t="n"/>
      <c r="D23" s="13" t="n"/>
    </row>
    <row r="24">
      <c r="A24" s="11" t="inlineStr">
        <is>
          <t>TS-1.10</t>
        </is>
      </c>
      <c r="B24" s="12" t="inlineStr">
        <is>
          <t>All equipment shall be supplied with a manufacturer's warranty of not less than thirty-six (36) months.</t>
        </is>
      </c>
      <c r="C24" s="6" t="n"/>
      <c r="D24" s="13" t="n"/>
    </row>
    <row r="25">
      <c r="A25" s="9" t="inlineStr">
        <is>
          <t>TS — 2. SYSTEM A — PERIMETER INTRUSION DETECTION SYSTEM</t>
        </is>
      </c>
      <c r="B25" s="10" t="n"/>
      <c r="C25" s="10" t="n"/>
      <c r="D25" s="10" t="n"/>
    </row>
    <row r="26">
      <c r="A26" s="11" t="inlineStr">
        <is>
          <t>TS-A.1</t>
        </is>
      </c>
      <c r="B26" s="12" t="inlineStr">
        <is>
          <t>The Contractor shall supply and install a taut-wire perimeter intrusion detection fence to the full landside boundary of the Site, a length of approximately 8,200 linear feet, together with an internal patrol road.</t>
        </is>
      </c>
      <c r="C26" s="6" t="n"/>
      <c r="D26" s="13" t="n"/>
    </row>
    <row r="27">
      <c r="A27" s="11" t="inlineStr">
        <is>
          <t>TS-A.2</t>
        </is>
      </c>
      <c r="B27" s="12" t="inlineStr">
        <is>
          <t>The detection fence shall comprise not fewer than twenty (20) horizontal tensioned wires, anchored to detector posts at intervals not exceeding ten (10) feet.</t>
        </is>
      </c>
      <c r="C27" s="6" t="n"/>
      <c r="D27" s="13" t="n"/>
    </row>
    <row r="28">
      <c r="A28" s="11" t="inlineStr">
        <is>
          <t>TS-A.3</t>
        </is>
      </c>
      <c r="B28" s="12" t="inlineStr">
        <is>
          <t>The system shall be divided into detection zones not exceeding 330 feet in length.</t>
        </is>
      </c>
      <c r="C28" s="6" t="n"/>
      <c r="D28" s="13" t="n"/>
    </row>
    <row r="29">
      <c r="A29" s="11" t="inlineStr">
        <is>
          <t>TS-A.4</t>
        </is>
      </c>
      <c r="B29" s="12" t="inlineStr">
        <is>
          <t>Each zone shall report independently to the Security Management System.</t>
        </is>
      </c>
      <c r="C29" s="6" t="n"/>
      <c r="D29" s="13" t="n"/>
    </row>
    <row r="30">
      <c r="A30" s="11" t="inlineStr">
        <is>
          <t>TS-A.5</t>
        </is>
      </c>
      <c r="B30" s="12" t="inlineStr">
        <is>
          <t>The system shall achieve a Probability of Detection (Pd) of not less than ninety-five percent (95%) against the following defeat methods: climbing, cutting, spreading, and lifting of the wires.</t>
        </is>
      </c>
      <c r="C30" s="6" t="n"/>
      <c r="D30" s="13" t="n"/>
    </row>
    <row r="31">
      <c r="A31" s="11" t="inlineStr">
        <is>
          <t>TS-A.6</t>
        </is>
      </c>
      <c r="B31" s="12" t="inlineStr">
        <is>
          <t>The system shall exhibit a Nuisance Alarm Rate (NAR) not exceeding one (1) alarm per zone per twenty-four (24) hours.</t>
        </is>
      </c>
      <c r="C31" s="6" t="n"/>
      <c r="D31" s="13" t="n"/>
    </row>
    <row r="32">
      <c r="A32" s="11" t="inlineStr">
        <is>
          <t>TS-A.7</t>
        </is>
      </c>
      <c r="B32" s="12" t="inlineStr">
        <is>
          <t>Pd and NAR shall be demonstrated over a continuous thirty (30) day soak period during the Site Acceptance Test.</t>
        </is>
      </c>
      <c r="C32" s="6" t="n"/>
      <c r="D32" s="13" t="n"/>
    </row>
    <row r="33">
      <c r="A33" s="11" t="inlineStr">
        <is>
          <t>TS-A.8</t>
        </is>
      </c>
      <c r="B33" s="12" t="inlineStr">
        <is>
          <t>The system shall have a Mean Time Between Failures of not less than 60,000 hours.</t>
        </is>
      </c>
      <c r="C33" s="6" t="n"/>
      <c r="D33" s="13" t="n"/>
    </row>
    <row r="34">
      <c r="A34" s="11" t="inlineStr">
        <is>
          <t>TS-A.9</t>
        </is>
      </c>
      <c r="B34" s="12" t="inlineStr">
        <is>
          <t>The system shall not be defeated by wind, rain, hail, wildlife or debris common to the Site.</t>
        </is>
      </c>
      <c r="C34" s="6" t="n"/>
      <c r="D34" s="13" t="n"/>
    </row>
    <row r="35">
      <c r="A35" s="11" t="inlineStr">
        <is>
          <t>TS-A.15</t>
        </is>
      </c>
      <c r="B35" s="12" t="inlineStr">
        <is>
          <t>Wire tension shall be monitored continuously and a tension deviation exceeding the manufacturer's stated threshold shall raise a supervisory alarm.</t>
        </is>
      </c>
      <c r="C35" s="6" t="n"/>
      <c r="D35" s="13" t="n"/>
    </row>
    <row r="36">
      <c r="A36" s="11" t="inlineStr">
        <is>
          <t>TS-A.16</t>
        </is>
      </c>
      <c r="B36" s="12" t="inlineStr">
        <is>
          <t>The system shall discriminate between an intrusion event and an environmental event, and shall report the discrimination decision to the operator.</t>
        </is>
      </c>
      <c r="C36" s="6" t="n"/>
      <c r="D36" s="13" t="n"/>
    </row>
    <row r="37">
      <c r="A37" s="11" t="inlineStr">
        <is>
          <t>TS-A.17</t>
        </is>
      </c>
      <c r="B37" s="12" t="inlineStr">
        <is>
          <t>Detector post sensors shall operate over an ambient temperature range of −20 deg C to +60 deg C and at relative humidity to 100% non-condensing.</t>
        </is>
      </c>
      <c r="C37" s="6" t="n"/>
      <c r="D37" s="13" t="n"/>
    </row>
    <row r="38">
      <c r="A38" s="11" t="inlineStr">
        <is>
          <t>TS-A.18</t>
        </is>
      </c>
      <c r="B38" s="12" t="inlineStr">
        <is>
          <t>Each zone shall be individually addressable for the purposes of inhibit, test and reset, and no inhibit shall persist beyond a configurable timeout without an operator confirmation.</t>
        </is>
      </c>
      <c r="C38" s="6" t="n"/>
      <c r="D38" s="13" t="n"/>
    </row>
    <row r="39">
      <c r="A39" s="11" t="inlineStr">
        <is>
          <t>TS-A.10</t>
        </is>
      </c>
      <c r="B39" s="12" t="inlineStr">
        <is>
          <t>Detector posts shall be hot-dip galvanised to ASTM A123 and shall additionally be polyester powder coated.</t>
        </is>
      </c>
      <c r="C39" s="6" t="n"/>
      <c r="D39" s="13" t="n"/>
    </row>
    <row r="40">
      <c r="A40" s="11" t="inlineStr">
        <is>
          <t>TS-A.11</t>
        </is>
      </c>
      <c r="B40" s="12" t="inlineStr">
        <is>
          <t>Foundations shall be designed for the wind loading stated at Annex A and for the soil conditions encountered.</t>
        </is>
      </c>
      <c r="C40" s="6" t="n"/>
      <c r="D40" s="13" t="n"/>
    </row>
    <row r="41">
      <c r="A41" s="11" t="inlineStr">
        <is>
          <t>TS-A.12</t>
        </is>
      </c>
      <c r="B41" s="12" t="inlineStr">
        <is>
          <t>The patrol road shall be not less than twelve (12) feet wide, constructed of compacted aggregate, and shall run continuously inside the detection line.</t>
        </is>
      </c>
      <c r="C41" s="6" t="n"/>
      <c r="D41" s="13" t="n"/>
    </row>
    <row r="42">
      <c r="A42" s="11" t="inlineStr">
        <is>
          <t>TS-A.13</t>
        </is>
      </c>
      <c r="B42" s="12" t="inlineStr">
        <is>
          <t>Where the detection line is interrupted by a gate, the detection shall be continued across the opening by a means proposed by the Contractor and approved by the Authority.</t>
        </is>
      </c>
      <c r="C42" s="6" t="n"/>
      <c r="D42" s="13" t="n"/>
    </row>
    <row r="43">
      <c r="A43" s="11" t="inlineStr">
        <is>
          <t>TS-A.14</t>
        </is>
      </c>
      <c r="B43" s="12" t="inlineStr">
        <is>
          <t>Supplementary fibre-optic fence sensing shall be provided to the approximately 1,800 linear feet of boundary identified on the drawings as visually obstructed.</t>
        </is>
      </c>
      <c r="C43" s="6" t="n"/>
      <c r="D43" s="13" t="n"/>
    </row>
    <row r="44">
      <c r="A44" s="11" t="inlineStr">
        <is>
          <t>TS-A.19</t>
        </is>
      </c>
      <c r="B44" s="12" t="inlineStr">
        <is>
          <t>All field wiring between detector posts and zone controllers shall be screened, and the screen shall be earthed at one end only.</t>
        </is>
      </c>
      <c r="C44" s="6" t="n"/>
      <c r="D44" s="13" t="n"/>
    </row>
    <row r="45">
      <c r="A45" s="11" t="inlineStr">
        <is>
          <t>TS-A.20</t>
        </is>
      </c>
      <c r="B45" s="12" t="inlineStr">
        <is>
          <t>All cable entries to detector posts and zone controllers shall be from below and shall be sealed against water and vermin ingress.</t>
        </is>
      </c>
      <c r="C45" s="6" t="n"/>
      <c r="D45" s="13" t="n"/>
    </row>
    <row r="46">
      <c r="A46" s="9" t="inlineStr">
        <is>
          <t>TS — 3. SYSTEM B — VIDEO SURVEILLANCE SYSTEM</t>
        </is>
      </c>
      <c r="B46" s="10" t="n"/>
      <c r="C46" s="10" t="n"/>
      <c r="D46" s="10" t="n"/>
    </row>
    <row r="47">
      <c r="A47" s="11" t="inlineStr">
        <is>
          <t>TS-B.1</t>
        </is>
      </c>
      <c r="B47" s="12" t="inlineStr">
        <is>
          <t>The Contractor shall supply and install a video surveillance system comprising approximately 174 cameras, a video management system, recording, storage and analytics, as scheduled in the Bill of Quantities.</t>
        </is>
      </c>
      <c r="C47" s="6" t="n"/>
      <c r="D47" s="13" t="n"/>
    </row>
    <row r="48">
      <c r="A48" s="11" t="inlineStr">
        <is>
          <t>TS-B.2</t>
        </is>
      </c>
      <c r="B48" s="12" t="inlineStr">
        <is>
          <t>All cameras shall be network cameras supporting H.265 (Main Profile) and H.264 (Main and High Profile) encoding, with a configurable Group of Pictures length.</t>
        </is>
      </c>
      <c r="C48" s="6" t="n"/>
      <c r="D48" s="13" t="n"/>
    </row>
    <row r="49">
      <c r="A49" s="11" t="inlineStr">
        <is>
          <t>TS-B.3</t>
        </is>
      </c>
      <c r="B49" s="12" t="inlineStr">
        <is>
          <t>All cameras shall conform to ONVIF Profile S, Profile G and Profile T.</t>
        </is>
      </c>
      <c r="C49" s="6" t="n"/>
      <c r="D49" s="13" t="n"/>
    </row>
    <row r="50">
      <c r="A50" s="11" t="inlineStr">
        <is>
          <t>TS-B.4</t>
        </is>
      </c>
      <c r="B50" s="12" t="inlineStr">
        <is>
          <t>All cameras shall support FIPS 140-3 validated cryptographic modules for the protection of video and control traffic.</t>
        </is>
      </c>
      <c r="C50" s="6" t="n"/>
      <c r="D50" s="13" t="n"/>
    </row>
    <row r="51">
      <c r="A51" s="11" t="inlineStr">
        <is>
          <t>TS-B.5</t>
        </is>
      </c>
      <c r="B51" s="12" t="inlineStr">
        <is>
          <t>All cameras shall support HTTPS with TLS 1.3, SRTP, IEEE 802.1X certificate-based authentication, signed firmware, and a hardware root of trust implemented in a TPM or equivalent secure element.</t>
        </is>
      </c>
      <c r="C51" s="6" t="n"/>
      <c r="D51" s="13" t="n"/>
    </row>
    <row r="52">
      <c r="A52" s="11" t="inlineStr">
        <is>
          <t>TS-B.6</t>
        </is>
      </c>
      <c r="B52" s="12" t="inlineStr">
        <is>
          <t>All cameras shall support simultaneous delivery of not fewer than four (4) independently configurable video streams, each with individually selectable resolution, frame rate, compression standard and bit rate control mode.</t>
        </is>
      </c>
      <c r="C52" s="6" t="n"/>
      <c r="D52" s="13" t="n"/>
    </row>
    <row r="53">
      <c r="A53" s="11" t="inlineStr">
        <is>
          <t>TS-B.7</t>
        </is>
      </c>
      <c r="B53" s="12" t="inlineStr">
        <is>
          <t>All cameras shall support both constant bit rate and variable bit rate encoding, and a manufacturer's bandwidth-reduction technology shall be configurable independently per stream.</t>
        </is>
      </c>
      <c r="C53" s="6" t="n"/>
      <c r="D53" s="13" t="n"/>
    </row>
    <row r="54">
      <c r="A54" s="11" t="inlineStr">
        <is>
          <t>TS-B.8</t>
        </is>
      </c>
      <c r="B54" s="12" t="inlineStr">
        <is>
          <t>All cameras shall provide edge storage by removable media of not less than 256 GB, recording continuously on loss of network connection and automatically replenishing the recording gap at the head end on restoration.</t>
        </is>
      </c>
      <c r="C54" s="6" t="n"/>
      <c r="D54" s="13" t="n"/>
    </row>
    <row r="55">
      <c r="A55" s="11" t="inlineStr">
        <is>
          <t>TS-B.10</t>
        </is>
      </c>
      <c r="B55" s="12" t="inlineStr">
        <is>
          <t>Perimeter detection cameras shall employ a progressive scan CMOS image sensor of size not smaller than 1/2.8 inch.</t>
        </is>
      </c>
      <c r="C55" s="6" t="n"/>
      <c r="D55" s="13" t="n"/>
    </row>
    <row r="56">
      <c r="A56" s="11" t="inlineStr">
        <is>
          <t>TS-B.11</t>
        </is>
      </c>
      <c r="B56" s="12" t="inlineStr">
        <is>
          <t>Perimeter detection cameras shall provide a native resolution of not less than 1920 × 1080 pixels.</t>
        </is>
      </c>
      <c r="C56" s="6" t="n"/>
      <c r="D56" s="13" t="n"/>
    </row>
    <row r="57">
      <c r="A57" s="11" t="inlineStr">
        <is>
          <t>TS-B.12</t>
        </is>
      </c>
      <c r="B57" s="12" t="inlineStr">
        <is>
          <t>Perimeter detection cameras shall deliver not fewer than 30 frames per second at full native resolution, with all analytics enabled.</t>
        </is>
      </c>
      <c r="C57" s="6" t="n"/>
      <c r="D57" s="13" t="n"/>
    </row>
    <row r="58">
      <c r="A58" s="11" t="inlineStr">
        <is>
          <t>TS-B.13</t>
        </is>
      </c>
      <c r="B58" s="12" t="inlineStr">
        <is>
          <t>Perimeter detection cameras shall be fitted with a motorised varifocal lens of focal length range 2.8 mm to 12 mm, with remote focus and remote zoom adjustable from the video management system.</t>
        </is>
      </c>
      <c r="C58" s="6" t="n"/>
      <c r="D58" s="13" t="n"/>
    </row>
    <row r="59">
      <c r="A59" s="11" t="inlineStr">
        <is>
          <t>TS-B.14</t>
        </is>
      </c>
      <c r="B59" s="12" t="inlineStr">
        <is>
          <t>The lens shall have a maximum aperture of F1.4 or faster, and shall be of the P-iris or DC-iris type with automatic iris control.</t>
        </is>
      </c>
      <c r="C59" s="6" t="n"/>
      <c r="D59" s="13" t="n"/>
    </row>
    <row r="60">
      <c r="A60" s="11" t="inlineStr">
        <is>
          <t>TS-B.15</t>
        </is>
      </c>
      <c r="B60" s="12" t="inlineStr">
        <is>
          <t>The lens shall be IR-corrected so that focus is maintained between day and night modes without refocusing.</t>
        </is>
      </c>
      <c r="C60" s="6" t="n"/>
      <c r="D60" s="13" t="n"/>
    </row>
    <row r="61">
      <c r="A61" s="11" t="inlineStr">
        <is>
          <t>TS-B.16</t>
        </is>
      </c>
      <c r="B61" s="12" t="inlineStr">
        <is>
          <t>Perimeter detection cameras shall achieve a minimum illumination of not more than - refer to the table in the Technical Specification.</t>
        </is>
      </c>
      <c r="C61" s="6" t="n"/>
      <c r="D61" s="13" t="n"/>
    </row>
    <row r="62">
      <c r="A62" s="11" t="inlineStr">
        <is>
          <t>TS-B.17</t>
        </is>
      </c>
      <c r="B62" s="12" t="inlineStr">
        <is>
          <t>Perimeter detection cameras shall provide Wide Dynamic Range of not less than 140 dB, measured in accordance with the manufacturer's published method.</t>
        </is>
      </c>
      <c r="C62" s="6" t="n"/>
      <c r="D62" s="13" t="n"/>
    </row>
    <row r="63">
      <c r="A63" s="11" t="inlineStr">
        <is>
          <t>TS-B.18</t>
        </is>
      </c>
      <c r="B63" s="12" t="inlineStr">
        <is>
          <t>Perimeter detection cameras shall provide a signal-to-noise ratio of not less than 50 dB.</t>
        </is>
      </c>
      <c r="C63" s="6" t="n"/>
      <c r="D63" s="13" t="n"/>
    </row>
    <row r="64">
      <c r="A64" s="11" t="inlineStr">
        <is>
          <t>TS-B.19</t>
        </is>
      </c>
      <c r="B64" s="12" t="inlineStr">
        <is>
          <t>Perimeter detection cameras shall provide an electronic shutter adjustable over the range 1/6 s to 1/100,000 s, with automatic and manual modes.</t>
        </is>
      </c>
      <c r="C64" s="6" t="n"/>
      <c r="D64" s="13" t="n"/>
    </row>
    <row r="65">
      <c r="A65" s="11" t="inlineStr">
        <is>
          <t>TS-B.20</t>
        </is>
      </c>
      <c r="B65" s="12" t="inlineStr">
        <is>
          <t>Perimeter detection cameras shall provide back light compensation, highlight compensation, automatic gain control with a configurable maximum, 3D digital noise reduction, defog, and electronic image stabilisation.</t>
        </is>
      </c>
      <c r="C65" s="6" t="n"/>
      <c r="D65" s="13" t="n"/>
    </row>
    <row r="66">
      <c r="A66" s="11" t="inlineStr">
        <is>
          <t>TS-B.21</t>
        </is>
      </c>
      <c r="B66" s="12" t="inlineStr">
        <is>
          <t>Perimeter detection cameras shall incorporate a mechanically switched infrared cut filter with automatic day and night changeover, and a manually selectable changeover threshold.</t>
        </is>
      </c>
      <c r="C66" s="6" t="n"/>
      <c r="D66" s="13" t="n"/>
    </row>
    <row r="67">
      <c r="A67" s="11" t="inlineStr">
        <is>
          <t>TS-B.22</t>
        </is>
      </c>
      <c r="B67" s="12" t="inlineStr">
        <is>
          <t>Where infrared illumination is provided, it shall be of wavelength 850 nm, shall be synchronised to the lens zoom position, and shall provide a useful range of not less than 50 metres.</t>
        </is>
      </c>
      <c r="C67" s="6" t="n"/>
      <c r="D67" s="13" t="n"/>
    </row>
    <row r="68">
      <c r="A68" s="11" t="inlineStr">
        <is>
          <t>TS-B.26</t>
        </is>
      </c>
      <c r="B68" s="12" t="inlineStr">
        <is>
          <t>The Contractor shall submit, for every camera position, a field-of-view calculation demonstrating compliance with TS-B.25.</t>
        </is>
      </c>
      <c r="C68" s="6" t="n"/>
      <c r="D68" s="13" t="n"/>
    </row>
    <row r="69">
      <c r="A69" s="11" t="inlineStr">
        <is>
          <t>TS-B.27</t>
        </is>
      </c>
      <c r="B69" s="12" t="inlineStr">
        <is>
          <t>Perimeter detection cameras shall provide artificial-intelligence object detection and classification, performed at the edge, distinguishing as a minimum between person, vehicle, vessel and animal.</t>
        </is>
      </c>
      <c r="C69" s="6" t="n"/>
      <c r="D69" s="13" t="n"/>
    </row>
    <row r="70">
      <c r="A70" s="11" t="inlineStr">
        <is>
          <t>TS-B.28</t>
        </is>
      </c>
      <c r="B70" s="12" t="inlineStr">
        <is>
          <t>Classification accuracy shall be not less than ninety-five percent (95%).</t>
        </is>
      </c>
      <c r="C70" s="6" t="n"/>
      <c r="D70" s="13" t="n"/>
    </row>
    <row r="71">
      <c r="A71" s="11" t="inlineStr">
        <is>
          <t>TS-B.29</t>
        </is>
      </c>
      <c r="B71" s="12" t="inlineStr">
        <is>
          <t>Analytics shall support, as a minimum, the following rule types: line crossing with direction; intrusion into a defined region; loitering with a configurable dwell time; object left behind; object removed; crowd formation; and camera tamper, defocus and scene change.</t>
        </is>
      </c>
      <c r="C71" s="6" t="n"/>
      <c r="D71" s="13" t="n"/>
    </row>
    <row r="72">
      <c r="A72" s="11" t="inlineStr">
        <is>
          <t>TS-B.30</t>
        </is>
      </c>
      <c r="B72" s="12" t="inlineStr">
        <is>
          <t>Analytics shall support not fewer than eight (8) independently configurable rules per camera, each with its own schedule and its own region of interest.</t>
        </is>
      </c>
      <c r="C72" s="6" t="n"/>
      <c r="D72" s="13" t="n"/>
    </row>
    <row r="73">
      <c r="A73" s="11" t="inlineStr">
        <is>
          <t>TS-B.31</t>
        </is>
      </c>
      <c r="B73" s="12" t="inlineStr">
        <is>
          <t>The camera shall stream object metadata, including object class, bounding box, trajectory and dominant colour, as a separate stream to the video management system, for use in forensic search without re-analysing recorded video.</t>
        </is>
      </c>
      <c r="C73" s="6" t="n"/>
      <c r="D73" s="13" t="n"/>
    </row>
    <row r="74">
      <c r="A74" s="11" t="inlineStr">
        <is>
          <t>TS-B.32</t>
        </is>
      </c>
      <c r="B74" s="12" t="inlineStr">
        <is>
          <t>Analytics shall continue to operate on loss of connection to the head end, and shall buffer events locally for transmission on restoration.</t>
        </is>
      </c>
      <c r="C74" s="6" t="n"/>
      <c r="D74" s="13" t="n"/>
    </row>
    <row r="75">
      <c r="A75" s="11" t="inlineStr">
        <is>
          <t>TS-B.35</t>
        </is>
      </c>
      <c r="B75" s="12" t="inlineStr">
        <is>
          <t>Perimeter detection cameras shall be rated IP67 to IEC 60529 and IK10 to IEC 62262.</t>
        </is>
      </c>
      <c r="C75" s="6" t="n"/>
      <c r="D75" s="13" t="n"/>
    </row>
    <row r="76">
      <c r="A76" s="11" t="inlineStr">
        <is>
          <t>TS-B.36</t>
        </is>
      </c>
      <c r="B76" s="12" t="inlineStr">
        <is>
          <t>Perimeter detection cameras shall operate over an ambient temperature range of −40 deg C to +60 deg C.</t>
        </is>
      </c>
      <c r="C76" s="6" t="n"/>
      <c r="D76" s="13" t="n"/>
    </row>
    <row r="77">
      <c r="A77" s="11" t="inlineStr">
        <is>
          <t>TS-B.37</t>
        </is>
      </c>
      <c r="B77" s="12" t="inlineStr">
        <is>
          <t>Perimeter detection cameras shall be supplied with an integral heater and blower, a sunshield, and a hydrophobic coating to the window.</t>
        </is>
      </c>
      <c r="C77" s="6" t="n"/>
      <c r="D77" s="13" t="n"/>
    </row>
    <row r="78">
      <c r="A78" s="11" t="inlineStr">
        <is>
          <t>TS-B.38</t>
        </is>
      </c>
      <c r="B78" s="12" t="inlineStr">
        <is>
          <t>Perimeter detection cameras shall be powered by IEEE 802.3af Power over Ethernet, not exceeding 15.4 W per device, from the field cabinet serving that sector.</t>
        </is>
      </c>
      <c r="C78" s="6" t="n"/>
      <c r="D78" s="13" t="n"/>
    </row>
    <row r="79">
      <c r="A79" s="11" t="inlineStr">
        <is>
          <t>TS-B.39</t>
        </is>
      </c>
      <c r="B79" s="12" t="inlineStr">
        <is>
          <t>Perimeter detection cameras shall have a Mean Time Between Failures of not less than 100,000 hours at 25 deg C.</t>
        </is>
      </c>
      <c r="C79" s="6" t="n"/>
      <c r="D79" s="13" t="n"/>
    </row>
    <row r="80">
      <c r="A80" s="11" t="inlineStr">
        <is>
          <t>TS-B.40</t>
        </is>
      </c>
      <c r="B80" s="12" t="inlineStr">
        <is>
          <t>PTZ assessment cameras shall provide not less than 36× optical zoom and a focal length range of not less than 6 mm to 220 mm.</t>
        </is>
      </c>
      <c r="C80" s="6" t="n"/>
      <c r="D80" s="13" t="n"/>
    </row>
    <row r="81">
      <c r="A81" s="11" t="inlineStr">
        <is>
          <t>TS-B.41</t>
        </is>
      </c>
      <c r="B81" s="12" t="inlineStr">
        <is>
          <t>PTZ assessment cameras shall provide continuous 360 deg pan, tilt from +20 deg to −90 deg , and not fewer than 300 presets.</t>
        </is>
      </c>
      <c r="C81" s="6" t="n"/>
      <c r="D81" s="13" t="n"/>
    </row>
    <row r="82">
      <c r="A82" s="11" t="inlineStr">
        <is>
          <t>TS-B.42</t>
        </is>
      </c>
      <c r="B82" s="12" t="inlineStr">
        <is>
          <t>Pan speed shall be not less than 200 deg /s on preset recall and variable from 0.1 deg /s for manual control.</t>
        </is>
      </c>
      <c r="C82" s="6" t="n"/>
      <c r="D82" s="13" t="n"/>
    </row>
    <row r="83">
      <c r="A83" s="11" t="inlineStr">
        <is>
          <t>TS-B.43</t>
        </is>
      </c>
      <c r="B83" s="12" t="inlineStr">
        <is>
          <t>PTZ assessment cameras shall move to a preset position on receipt of an alarm from any detection zone within three (3) seconds.</t>
        </is>
      </c>
      <c r="C83" s="6" t="n"/>
      <c r="D83" s="13" t="n"/>
    </row>
    <row r="84">
      <c r="A84" s="11" t="inlineStr">
        <is>
          <t>TS-B.44</t>
        </is>
      </c>
      <c r="B84" s="12" t="inlineStr">
        <is>
          <t>PTZ assessment cameras shall provide a native resolution of not less than 1920 × 1080 at 30 fps, WDR of not less than 120 dB, and optical image stabilisation.</t>
        </is>
      </c>
      <c r="C84" s="6" t="n"/>
      <c r="D84" s="13" t="n"/>
    </row>
    <row r="85">
      <c r="A85" s="11" t="inlineStr">
        <is>
          <t>TS-B.45</t>
        </is>
      </c>
      <c r="B85" s="12" t="inlineStr">
        <is>
          <t>PTZ assessment cameras shall support automatic tracking of a detected object, with handover to an adjacent camera where the object leaves the field of view.</t>
        </is>
      </c>
      <c r="C85" s="6" t="n"/>
      <c r="D85" s="13" t="n"/>
    </row>
    <row r="86">
      <c r="A86" s="11" t="inlineStr">
        <is>
          <t>TS-B.46</t>
        </is>
      </c>
      <c r="B86" s="12" t="inlineStr">
        <is>
          <t>PTZ assessment cameras shall be rated IP66 as a minimum, and shall incorporate a wiper to the window.</t>
        </is>
      </c>
      <c r="C86" s="6" t="n"/>
      <c r="D86" s="13" t="n"/>
    </row>
    <row r="87">
      <c r="A87" s="11" t="inlineStr">
        <is>
          <t>TS-B.50</t>
        </is>
      </c>
      <c r="B87" s="12" t="inlineStr">
        <is>
          <t>Thermal imaging cameras shall be provided along the quay face, with a human detection range of not less than 1,200 metres determined in accordance with the Johnson criteria.</t>
        </is>
      </c>
      <c r="C87" s="6" t="n"/>
      <c r="D87" s="13" t="n"/>
    </row>
    <row r="88">
      <c r="A88" s="11" t="inlineStr">
        <is>
          <t>TS-B.51</t>
        </is>
      </c>
      <c r="B88" s="12" t="inlineStr">
        <is>
          <t>Thermal imaging cameras shall employ an uncooled vanadium oxide microbolometer of resolution not less than 640 × 512, with a pixel pitch not exceeding 17 µm and a thermal sensitivity (NETD) of not more than 40 mK.</t>
        </is>
      </c>
      <c r="C88" s="6" t="n"/>
      <c r="D88" s="13" t="n"/>
    </row>
    <row r="89">
      <c r="A89" s="11" t="inlineStr">
        <is>
          <t>TS-B.52</t>
        </is>
      </c>
      <c r="B89" s="12" t="inlineStr">
        <is>
          <t>Thermal imaging cameras shall provide on-board analytics capable of classifying a detected object as person, vehicle or vessel.</t>
        </is>
      </c>
      <c r="C89" s="6" t="n"/>
      <c r="D89" s="13" t="n"/>
    </row>
    <row r="90">
      <c r="A90" s="11" t="inlineStr">
        <is>
          <t>TS-B.53</t>
        </is>
      </c>
      <c r="B90" s="12" t="inlineStr">
        <is>
          <t>Thermal cameras will be integrated with the surface radar such that a radar track cues the nearest thermal camera.</t>
        </is>
      </c>
      <c r="C90" s="6" t="n"/>
      <c r="D90" s="13" t="n"/>
    </row>
    <row r="91">
      <c r="A91" s="11" t="inlineStr">
        <is>
          <t>TS-B.60</t>
        </is>
      </c>
      <c r="B91" s="12" t="inlineStr">
        <is>
          <t>All video shall be recorded continuously at full frame rate and full resolution.</t>
        </is>
      </c>
      <c r="C91" s="6" t="n"/>
      <c r="D91" s="13" t="n"/>
    </row>
    <row r="92">
      <c r="A92" s="11" t="inlineStr">
        <is>
          <t>TS-B.61</t>
        </is>
      </c>
      <c r="B92" s="12" t="inlineStr">
        <is>
          <t>Recorded video shall be retained for not less than thirty (30) days.</t>
        </is>
      </c>
      <c r="C92" s="6" t="n"/>
      <c r="D92" s="13" t="n"/>
    </row>
    <row r="93">
      <c r="A93" s="11" t="inlineStr">
        <is>
          <t>TS-B.62</t>
        </is>
      </c>
      <c r="B93" s="12" t="inlineStr">
        <is>
          <t>Storage shall be configured with RAID-6 or equivalent protection, and shall tolerate the failure of any two drives without loss of recording.</t>
        </is>
      </c>
      <c r="C93" s="6" t="n"/>
      <c r="D93" s="13" t="n"/>
    </row>
    <row r="94">
      <c r="A94" s="11" t="inlineStr">
        <is>
          <t>TS-B.63</t>
        </is>
      </c>
      <c r="B94" s="12" t="inlineStr">
        <is>
          <t>Storage shall be sized to provide not less than twenty percent (20%) spare capacity at Final Acceptance.</t>
        </is>
      </c>
      <c r="C94" s="6" t="n"/>
      <c r="D94" s="13" t="n"/>
    </row>
    <row r="95">
      <c r="A95" s="11" t="inlineStr">
        <is>
          <t>TS-B.64</t>
        </is>
      </c>
      <c r="B95" s="12" t="inlineStr">
        <is>
          <t>The video management system shall support not fewer than twelve (12) concurrent operator clients.</t>
        </is>
      </c>
      <c r="C95" s="6" t="n"/>
      <c r="D95" s="13" t="n"/>
    </row>
    <row r="96">
      <c r="A96" s="11" t="inlineStr">
        <is>
          <t>TS-B.65</t>
        </is>
      </c>
      <c r="B96" s="12" t="inlineStr">
        <is>
          <t>The video management system shall support not fewer than 500 cameras without additional server hardware, to permit future expansion.</t>
        </is>
      </c>
      <c r="C96" s="6" t="n"/>
      <c r="D96" s="13" t="n"/>
    </row>
    <row r="97">
      <c r="A97" s="11" t="inlineStr">
        <is>
          <t>TS-B.66</t>
        </is>
      </c>
      <c r="B97" s="12" t="inlineStr">
        <is>
          <t>The video management system shall provide forensic search across all cameras by object class, colour, direction of travel and time, using the metadata stream at TS-B.31.</t>
        </is>
      </c>
      <c r="C97" s="6" t="n"/>
      <c r="D97" s="13" t="n"/>
    </row>
    <row r="98">
      <c r="A98" s="11" t="inlineStr">
        <is>
          <t>TS-B.67</t>
        </is>
      </c>
      <c r="B98" s="12" t="inlineStr">
        <is>
          <t>Video export shall be in a format playable without proprietary software, with an accompanying integrity hash and a tamper-evident audit record of the export.</t>
        </is>
      </c>
      <c r="C98" s="6" t="n"/>
      <c r="D98" s="13" t="n"/>
    </row>
    <row r="99">
      <c r="A99" s="11" t="inlineStr">
        <is>
          <t>TS-B.68</t>
        </is>
      </c>
      <c r="B99" s="12" t="inlineStr">
        <is>
          <t>The video management system shall record an audit entry for every video access, export and configuration change, attributable to an individual user.</t>
        </is>
      </c>
      <c r="C99" s="6" t="n"/>
      <c r="D99" s="13" t="n"/>
    </row>
    <row r="100">
      <c r="A100" s="11" t="inlineStr">
        <is>
          <t>TS-B.69</t>
        </is>
      </c>
      <c r="B100" s="12" t="inlineStr">
        <is>
          <t>The video management system shall provide adequate video quality for the identification of individuals at all access control points.</t>
        </is>
      </c>
      <c r="C100" s="6" t="n"/>
      <c r="D100" s="13" t="n"/>
    </row>
    <row r="101">
      <c r="A101" s="11" t="inlineStr">
        <is>
          <t>TS-B.70</t>
        </is>
      </c>
      <c r="B101" s="12" t="inlineStr">
        <is>
          <t>Recording shall not be interrupted by the failure of any single server, switch, power supply or network path.</t>
        </is>
      </c>
      <c r="C101" s="6" t="n"/>
      <c r="D101" s="13" t="n"/>
    </row>
    <row r="102">
      <c r="A102" s="11" t="inlineStr">
        <is>
          <t>TS-B.71</t>
        </is>
      </c>
      <c r="B102" s="12" t="inlineStr">
        <is>
          <t>Lighting shall be sufficient to support the performance required by this specification.</t>
        </is>
      </c>
      <c r="C102" s="6" t="n"/>
      <c r="D102" s="13" t="n"/>
    </row>
    <row r="103">
      <c r="A103" s="11" t="inlineStr">
        <is>
          <t>TS-B.72</t>
        </is>
      </c>
      <c r="B103" s="12" t="inlineStr">
        <is>
          <t>The system shall support automatic recognition of container numbers at the pre-gate, with an accuracy of not less than 98%.</t>
        </is>
      </c>
      <c r="C103" s="6" t="n"/>
      <c r="D103" s="13" t="n"/>
    </row>
    <row r="104">
      <c r="A104" s="9" t="inlineStr">
        <is>
          <t>TS — 4. SYSTEM C — SECURITY PRE-GATE</t>
        </is>
      </c>
      <c r="B104" s="10" t="n"/>
      <c r="C104" s="10" t="n"/>
      <c r="D104" s="10" t="n"/>
    </row>
    <row r="105">
      <c r="A105" s="11" t="inlineStr">
        <is>
          <t>TS-C.1</t>
        </is>
      </c>
      <c r="B105" s="12" t="inlineStr">
        <is>
          <t>The Contractor shall supply and install a security pre-gate comprising four (4) inbound lanes, an optical character recognition portal, credential readers, barriers, and a Command and Control station.</t>
        </is>
      </c>
      <c r="C105" s="6" t="n"/>
      <c r="D105" s="13" t="n"/>
    </row>
    <row r="106">
      <c r="A106" s="11" t="inlineStr">
        <is>
          <t>TS-C.2</t>
        </is>
      </c>
      <c r="B106" s="12" t="inlineStr">
        <is>
          <t>The pre-gate shall be located upstream of the Commercial Gate. The inter-gate queue lane is provided by others.</t>
        </is>
      </c>
      <c r="C106" s="6" t="n"/>
      <c r="D106" s="13" t="n"/>
    </row>
    <row r="107">
      <c r="A107" s="11" t="inlineStr">
        <is>
          <t>TS-C.3</t>
        </is>
      </c>
      <c r="B107" s="12" t="inlineStr">
        <is>
          <t>There shall be no outbound pre-gate lanes.</t>
        </is>
      </c>
      <c r="C107" s="6" t="n"/>
      <c r="D107" s="13" t="n"/>
    </row>
    <row r="108">
      <c r="A108" s="11" t="inlineStr">
        <is>
          <t>TS-C.4</t>
        </is>
      </c>
      <c r="B108" s="12" t="inlineStr">
        <is>
          <t>The OCR portal shall read vehicle licence plates with an accuracy of not less than 98% at speeds up to 15 miles per hour.</t>
        </is>
      </c>
      <c r="C108" s="6" t="n"/>
      <c r="D108" s="13" t="n"/>
    </row>
    <row r="109">
      <c r="A109" s="11" t="inlineStr">
        <is>
          <t>TS-C.5</t>
        </is>
      </c>
      <c r="B109" s="12" t="inlineStr">
        <is>
          <t>The OCR portal shall read chassis identification numbers with an accuracy of not less than 95%.</t>
        </is>
      </c>
      <c r="C109" s="6" t="n"/>
      <c r="D109" s="13" t="n"/>
    </row>
    <row r="110">
      <c r="A110" s="11" t="inlineStr">
        <is>
          <t>TS-C.6</t>
        </is>
      </c>
      <c r="B110" s="12" t="inlineStr">
        <is>
          <t>Container number recognition is not required at the pre-gate.</t>
        </is>
      </c>
      <c r="C110" s="6" t="n"/>
      <c r="D110" s="13" t="n"/>
    </row>
    <row r="111">
      <c r="A111" s="11" t="inlineStr">
        <is>
          <t>TS-C.21</t>
        </is>
      </c>
      <c r="B111" s="12" t="inlineStr">
        <is>
          <t>OCR accuracy shall be measured over a continuous seven (7) day period of normal operation, by comparison against a manually verified sample of not fewer than 500 transactions.</t>
        </is>
      </c>
      <c r="C111" s="6" t="n"/>
      <c r="D111" s="13" t="n"/>
    </row>
    <row r="112">
      <c r="A112" s="11" t="inlineStr">
        <is>
          <t>TS-C.22</t>
        </is>
      </c>
      <c r="B112" s="12" t="inlineStr">
        <is>
          <t>The OCR portal shall be provided with dedicated illumination, synchronised to the capture, and shall operate through the full range of ambient conditions at Annex A including direct low sun on the approach.</t>
        </is>
      </c>
      <c r="C112" s="6" t="n"/>
      <c r="D112" s="13" t="n"/>
    </row>
    <row r="113">
      <c r="A113" s="11" t="inlineStr">
        <is>
          <t>TS-C.23</t>
        </is>
      </c>
      <c r="B113" s="12" t="inlineStr">
        <is>
          <t>The OCR system shall return a confidence value with every read, and a read below a configurable confidence threshold shall be presented to the Command and Control operator for manual confirmation.</t>
        </is>
      </c>
      <c r="C113" s="6" t="n"/>
      <c r="D113" s="13" t="n"/>
    </row>
    <row r="114">
      <c r="A114" s="11" t="inlineStr">
        <is>
          <t>TS-C.24</t>
        </is>
      </c>
      <c r="B114" s="12" t="inlineStr">
        <is>
          <t>The OCR system shall capture and retain an image of every plate and chassis read, linked to the transaction record.</t>
        </is>
      </c>
      <c r="C114" s="6" t="n"/>
      <c r="D114" s="13" t="n"/>
    </row>
    <row r="115">
      <c r="A115" s="11" t="inlineStr">
        <is>
          <t>TS-C.7</t>
        </is>
      </c>
      <c r="B115" s="12" t="inlineStr">
        <is>
          <t>Each lane shall be equipped with an RFID reader capable of reading the tractor tags in use at the Site.</t>
        </is>
      </c>
      <c r="C115" s="6" t="n"/>
      <c r="D115" s="13" t="n"/>
    </row>
    <row r="116">
      <c r="A116" s="11" t="inlineStr">
        <is>
          <t>TS-C.8</t>
        </is>
      </c>
      <c r="B116" s="12" t="inlineStr">
        <is>
          <t>Each lane shall be equipped with a credential reader capable of reading a Transportation Worker Identification Credential.</t>
        </is>
      </c>
      <c r="C116" s="6" t="n"/>
      <c r="D116" s="13" t="n"/>
    </row>
    <row r="117">
      <c r="A117" s="11" t="inlineStr">
        <is>
          <t>TS-C.9</t>
        </is>
      </c>
      <c r="B117" s="12" t="inlineStr">
        <is>
          <t>Credential readers shall be listed on the Transportation Security Administration's TWIC Reader Qualified Technology List and shall perform biometric fingerprint verification of the cardholder against the credential in accordance with the TWIC Reader Rule.</t>
        </is>
      </c>
      <c r="C117" s="6" t="n"/>
      <c r="D117" s="13" t="n"/>
    </row>
    <row r="118">
      <c r="A118" s="11" t="inlineStr">
        <is>
          <t>TS-C.10</t>
        </is>
      </c>
      <c r="B118" s="12" t="inlineStr">
        <is>
          <t>Credential readers shall be listed on the FICAM Approved Products List maintained at idmanagement.gov.</t>
        </is>
      </c>
      <c r="C118" s="6" t="n"/>
      <c r="D118" s="13" t="n"/>
    </row>
    <row r="119">
      <c r="A119" s="11" t="inlineStr">
        <is>
          <t>TS-C.11</t>
        </is>
      </c>
      <c r="B119" s="12" t="inlineStr">
        <is>
          <t>Each lane shall be equipped with a driver face-capture camera, a cab overview camera, and an intercom to the Command and Control station.</t>
        </is>
      </c>
      <c r="C119" s="6" t="n"/>
      <c r="D119" s="13" t="n"/>
    </row>
    <row r="120">
      <c r="A120" s="11" t="inlineStr">
        <is>
          <t>TS-C.25</t>
        </is>
      </c>
      <c r="B120" s="12" t="inlineStr">
        <is>
          <t>The driver face-capture camera shall achieve a pixel density of not less than 250 pixels per metre across the expected head position, corresponding to DORI Identify.</t>
        </is>
      </c>
      <c r="C120" s="6" t="n"/>
      <c r="D120" s="13" t="n"/>
    </row>
    <row r="121">
      <c r="A121" s="11" t="inlineStr">
        <is>
          <t>TS-C.26</t>
        </is>
      </c>
      <c r="B121" s="12" t="inlineStr">
        <is>
          <t>Lane readers shall communicate with the lane controller using OSDP v2.2 with Secure Channel enabled. Wiegand shall be provided as a parallel output for compatibility with the existing system.</t>
        </is>
      </c>
      <c r="C121" s="6" t="n"/>
      <c r="D121" s="13" t="n"/>
    </row>
    <row r="122">
      <c r="A122" s="11" t="inlineStr">
        <is>
          <t>TS-C.12</t>
        </is>
      </c>
      <c r="B122" s="12" t="inlineStr">
        <is>
          <t>For each inbound vehicle, the system shall: read the licence plate; read the chassis identification; read the RFID tractor tag; read the driver credential; verify the credential against the TWIC Canceled Card List; query the Terminal Operating System to confirm that the driver and vehicle combination has a valid reason to enter; query the law enforcement watchlist interface; and present a decision to the Command and Control operator.</t>
        </is>
      </c>
      <c r="C122" s="6" t="n"/>
      <c r="D122" s="13" t="n"/>
    </row>
    <row r="123">
      <c r="A123" s="11" t="inlineStr">
        <is>
          <t>TS-C.13</t>
        </is>
      </c>
      <c r="B123" s="12" t="inlineStr">
        <is>
          <t>The complete transaction at TS-C.12 shall be performed in not more than twenty (20) seconds.</t>
        </is>
      </c>
      <c r="C123" s="6" t="n"/>
      <c r="D123" s="13" t="n"/>
    </row>
    <row r="124">
      <c r="A124" s="11" t="inlineStr">
        <is>
          <t>TS-C.14</t>
        </is>
      </c>
      <c r="B124" s="12" t="inlineStr">
        <is>
          <t>Where any element of the transaction fails, the vehicle shall be directed to the inspection lay-by.</t>
        </is>
      </c>
      <c r="C124" s="6" t="n"/>
      <c r="D124" s="13" t="n"/>
    </row>
    <row r="125">
      <c r="A125" s="11" t="inlineStr">
        <is>
          <t>TS-C.15</t>
        </is>
      </c>
      <c r="B125" s="12" t="inlineStr">
        <is>
          <t>The system shall be capable of processing not fewer than 180 vehicles per lane per hour.</t>
        </is>
      </c>
      <c r="C125" s="6" t="n"/>
      <c r="D125" s="13" t="n"/>
    </row>
    <row r="126">
      <c r="A126" s="11" t="inlineStr">
        <is>
          <t>TS-C.16</t>
        </is>
      </c>
      <c r="B126" s="12" t="inlineStr">
        <is>
          <t>At MARSEC Level 2 the system shall support one hundred percent (100%) inspection without reduction in the throughput required by TS-C.15.</t>
        </is>
      </c>
      <c r="C126" s="6" t="n"/>
      <c r="D126" s="13" t="n"/>
    </row>
    <row r="127">
      <c r="A127" s="11" t="inlineStr">
        <is>
          <t>TS-C.17</t>
        </is>
      </c>
      <c r="B127" s="12" t="inlineStr">
        <is>
          <t>The Command and Control station shall provide two (2) operator positions with a view of all four lanes.</t>
        </is>
      </c>
      <c r="C127" s="6" t="n"/>
      <c r="D127" s="13" t="n"/>
    </row>
    <row r="128">
      <c r="A128" s="11" t="inlineStr">
        <is>
          <t>TS-C.18</t>
        </is>
      </c>
      <c r="B128" s="12" t="inlineStr">
        <is>
          <t>Each position shall present, for the vehicle under decision, the plate image, the chassis image, the driver face capture, the credential data, the Terminal Operating System response and the watchlist response on a single screen.</t>
        </is>
      </c>
      <c r="C128" s="6" t="n"/>
      <c r="D128" s="13" t="n"/>
    </row>
    <row r="129">
      <c r="A129" s="11" t="inlineStr">
        <is>
          <t>TS-C.19</t>
        </is>
      </c>
      <c r="B129" s="12" t="inlineStr">
        <is>
          <t>The operator shall be able to admit, divert or reject a vehicle by a single action.</t>
        </is>
      </c>
      <c r="C129" s="6" t="n"/>
      <c r="D129" s="13" t="n"/>
    </row>
    <row r="130">
      <c r="A130" s="11" t="inlineStr">
        <is>
          <t>TS-C.20</t>
        </is>
      </c>
      <c r="B130" s="12" t="inlineStr">
        <is>
          <t>All decisions shall be logged with the operator identity, the decision and the time.</t>
        </is>
      </c>
      <c r="C130" s="6" t="n"/>
      <c r="D130" s="13" t="n"/>
    </row>
    <row r="131">
      <c r="A131" s="11" t="inlineStr">
        <is>
          <t>TS-C.27</t>
        </is>
      </c>
      <c r="B131" s="12" t="inlineStr">
        <is>
          <t>The Command and Control station shall be provided with a duress facility at each operator position, raising a silent alarm at the Security Operations Centre.</t>
        </is>
      </c>
      <c r="C131" s="6" t="n"/>
      <c r="D131" s="13" t="n"/>
    </row>
    <row r="132">
      <c r="A132" s="9" t="inlineStr">
        <is>
          <t>TS — 5. SYSTEM D — ELECTRONIC ACCESS CONTROL</t>
        </is>
      </c>
      <c r="B132" s="10" t="n"/>
      <c r="C132" s="10" t="n"/>
      <c r="D132" s="10" t="n"/>
    </row>
    <row r="133">
      <c r="A133" s="11" t="inlineStr">
        <is>
          <t>TS-D.1</t>
        </is>
      </c>
      <c r="B133" s="12" t="inlineStr">
        <is>
          <t>The Contractor shall supply and install an electronic access control system serving approximately 1,800 credential holders across all access points.</t>
        </is>
      </c>
      <c r="C133" s="6" t="n"/>
      <c r="D133" s="13" t="n"/>
    </row>
    <row r="134">
      <c r="A134" s="11" t="inlineStr">
        <is>
          <t>TS-D.2</t>
        </is>
      </c>
      <c r="B134" s="12" t="inlineStr">
        <is>
          <t>All access control units shall be listed to UL 294, 8th Edition, at Level IV for destructive attack, line security, endurance and standby power.</t>
        </is>
      </c>
      <c r="C134" s="6" t="n"/>
      <c r="D134" s="13" t="n"/>
    </row>
    <row r="135">
      <c r="A135" s="11" t="inlineStr">
        <is>
          <t>TS-D.3</t>
        </is>
      </c>
      <c r="B135" s="12" t="inlineStr">
        <is>
          <t>All access control system components shall be listed on the FICAM Approved Products List and shall comply with FIPS 201-3.</t>
        </is>
      </c>
      <c r="C135" s="6" t="n"/>
      <c r="D135" s="13" t="n"/>
    </row>
    <row r="136">
      <c r="A136" s="11" t="inlineStr">
        <is>
          <t>TS-D.4</t>
        </is>
      </c>
      <c r="B136" s="12" t="inlineStr">
        <is>
          <t>The system shall support the TWIC as the primary credential, reading the CHUID and FASC-N contactlessly.</t>
        </is>
      </c>
      <c r="C136" s="6" t="n"/>
      <c r="D136" s="13" t="n"/>
    </row>
    <row r="137">
      <c r="A137" s="11" t="inlineStr">
        <is>
          <t>TS-D.5</t>
        </is>
      </c>
      <c r="B137" s="12" t="inlineStr">
        <is>
          <t>The system shall check every credential presentation against the TWIC Canceled Card List, updated not less frequently than daily.</t>
        </is>
      </c>
      <c r="C137" s="6" t="n"/>
      <c r="D137" s="13" t="n"/>
    </row>
    <row r="138">
      <c r="A138" s="11" t="inlineStr">
        <is>
          <t>TS-D.6</t>
        </is>
      </c>
      <c r="B138" s="12" t="inlineStr">
        <is>
          <t>The system shall support anti-passback at all controlled portals.</t>
        </is>
      </c>
      <c r="C138" s="6" t="n"/>
      <c r="D138" s="13" t="n"/>
    </row>
    <row r="139">
      <c r="A139" s="11" t="inlineStr">
        <is>
          <t>TS-D.20</t>
        </is>
      </c>
      <c r="B139" s="12" t="inlineStr">
        <is>
          <t>Credential readers shall operate at 13.56 MHz and shall support ISO/IEC 14443 Types A and B and ISO/IEC 7816.</t>
        </is>
      </c>
      <c r="C139" s="6" t="n"/>
      <c r="D139" s="13" t="n"/>
    </row>
    <row r="140">
      <c r="A140" s="11" t="inlineStr">
        <is>
          <t>TS-D.21</t>
        </is>
      </c>
      <c r="B140" s="12" t="inlineStr">
        <is>
          <t>Credential readers shall communicate with controllers using OSDP v2.2 with Secure Channel enabled, using AES-128 encryption with per-device keys.</t>
        </is>
      </c>
      <c r="C140" s="6" t="n"/>
      <c r="D140" s="13" t="n"/>
    </row>
    <row r="141">
      <c r="A141" s="11" t="inlineStr">
        <is>
          <t>TS-D.22</t>
        </is>
      </c>
      <c r="B141" s="12" t="inlineStr">
        <is>
          <t>Readers shall achieve a read range of not less than 50 mm for a TWIC credential and a read time not exceeding 500 ms from presentation to decision request.</t>
        </is>
      </c>
      <c r="C141" s="6" t="n"/>
      <c r="D141" s="13" t="n"/>
    </row>
    <row r="142">
      <c r="A142" s="11" t="inlineStr">
        <is>
          <t>TS-D.23</t>
        </is>
      </c>
      <c r="B142" s="12" t="inlineStr">
        <is>
          <t>Readers installed externally shall be rated IP66 and IK09 as a minimum and shall operate over −20 deg C to +60 deg C.</t>
        </is>
      </c>
      <c r="C142" s="6" t="n"/>
      <c r="D142" s="13" t="n"/>
    </row>
    <row r="143">
      <c r="A143" s="11" t="inlineStr">
        <is>
          <t>TS-D.24</t>
        </is>
      </c>
      <c r="B143" s="12" t="inlineStr">
        <is>
          <t>Readers shall provide tamper detection, reporting both cover removal and removal from the mounting surface.</t>
        </is>
      </c>
      <c r="C143" s="6" t="n"/>
      <c r="D143" s="13" t="n"/>
    </row>
    <row r="144">
      <c r="A144" s="11" t="inlineStr">
        <is>
          <t>TS-D.25</t>
        </is>
      </c>
      <c r="B144" s="12" t="inlineStr">
        <is>
          <t>Readers shall provide visual and audible indication of accept, reject and system fault states.</t>
        </is>
      </c>
      <c r="C144" s="6" t="n"/>
      <c r="D144" s="13" t="n"/>
    </row>
    <row r="145">
      <c r="A145" s="11" t="inlineStr">
        <is>
          <t>TS-D.26</t>
        </is>
      </c>
      <c r="B145" s="12" t="inlineStr">
        <is>
          <t>Reader firmware shall be field-updateable over the OSDP connection, and shall accept only cryptographically signed firmware.</t>
        </is>
      </c>
      <c r="C145" s="6" t="n"/>
      <c r="D145" s="13" t="n"/>
    </row>
    <row r="146">
      <c r="A146" s="11" t="inlineStr">
        <is>
          <t>TS-D.30</t>
        </is>
      </c>
      <c r="B146" s="12" t="inlineStr">
        <is>
          <t>Access control panels shall support not fewer than sixteen (16) readers per panel.</t>
        </is>
      </c>
      <c r="C146" s="6" t="n"/>
      <c r="D146" s="13" t="n"/>
    </row>
    <row r="147">
      <c r="A147" s="11" t="inlineStr">
        <is>
          <t>TS-D.31</t>
        </is>
      </c>
      <c r="B147" s="12" t="inlineStr">
        <is>
          <t>Panels shall hold not fewer than 200,000 credential records and not fewer than 500,000 offline event records.</t>
        </is>
      </c>
      <c r="C147" s="6" t="n"/>
      <c r="D147" s="13" t="n"/>
    </row>
    <row r="148">
      <c r="A148" s="11" t="inlineStr">
        <is>
          <t>TS-D.32</t>
        </is>
      </c>
      <c r="B148" s="12" t="inlineStr">
        <is>
          <t>Panels shall continue to make access decisions and to record events with the head-end server unavailable, for a period of not less than seventy-two (72) hours, and shall upload buffered events automatically on restoration.</t>
        </is>
      </c>
      <c r="C148" s="6" t="n"/>
      <c r="D148" s="13" t="n"/>
    </row>
    <row r="149">
      <c r="A149" s="11" t="inlineStr">
        <is>
          <t>TS-D.33</t>
        </is>
      </c>
      <c r="B149" s="12" t="inlineStr">
        <is>
          <t>Panels shall be supplied with a battery providing not less than four (4) hours of standby operation, with battery condition monitored and reported.</t>
        </is>
      </c>
      <c r="C149" s="6" t="n"/>
      <c r="D149" s="13" t="n"/>
    </row>
    <row r="150">
      <c r="A150" s="11" t="inlineStr">
        <is>
          <t>TS-D.34</t>
        </is>
      </c>
      <c r="B150" s="12" t="inlineStr">
        <is>
          <t>Panel enclosures shall be provided with tamper detection on the door and on removal from the wall.</t>
        </is>
      </c>
      <c r="C150" s="6" t="n"/>
      <c r="D150" s="13" t="n"/>
    </row>
    <row r="151">
      <c r="A151" s="11" t="inlineStr">
        <is>
          <t>TS-D.35</t>
        </is>
      </c>
      <c r="B151" s="12" t="inlineStr">
        <is>
          <t>All panel field wiring shall be supervised, and an open, short or earth fault on any input shall be reported as distinct from an alarm condition.</t>
        </is>
      </c>
      <c r="C151" s="6" t="n"/>
      <c r="D151" s="13" t="n"/>
    </row>
    <row r="152">
      <c r="A152" s="11" t="inlineStr">
        <is>
          <t>TS-D.36</t>
        </is>
      </c>
      <c r="B152" s="12" t="inlineStr">
        <is>
          <t>Panels shall support elevated threat-level operation, by which a single command changes the access rules applied at every portal to those defined for MARSEC Levels 2 and 3.</t>
        </is>
      </c>
      <c r="C152" s="6" t="n"/>
      <c r="D152" s="13" t="n"/>
    </row>
    <row r="153">
      <c r="A153" s="11" t="inlineStr">
        <is>
          <t>TS-D.7</t>
        </is>
      </c>
      <c r="B153" s="12" t="inlineStr">
        <is>
          <t>The Contractor shall supply and install six (6) full-height turnstile lanes, arranged as four lanes at the main personnel entry and two at the labour hall entry.</t>
        </is>
      </c>
      <c r="C153" s="6" t="n"/>
      <c r="D153" s="13" t="n"/>
    </row>
    <row r="154">
      <c r="A154" s="11" t="inlineStr">
        <is>
          <t>TS-D.8</t>
        </is>
      </c>
      <c r="B154" s="12" t="inlineStr">
        <is>
          <t>Full-height turnstiles shall be constructed of stainless steel to grade 316 and shall be suitable for continuous marine exposure.</t>
        </is>
      </c>
      <c r="C154" s="6" t="n"/>
      <c r="D154" s="13" t="n"/>
    </row>
    <row r="155">
      <c r="A155" s="11" t="inlineStr">
        <is>
          <t>TS-D.9</t>
        </is>
      </c>
      <c r="B155" s="12" t="inlineStr">
        <is>
          <t>Each turnstile lane shall be fitted with credential readers on both the entry and exit sides.</t>
        </is>
      </c>
      <c r="C155" s="6" t="n"/>
      <c r="D155" s="13" t="n"/>
    </row>
    <row r="156">
      <c r="A156" s="11" t="inlineStr">
        <is>
          <t>TS-D.10</t>
        </is>
      </c>
      <c r="B156" s="12" t="inlineStr">
        <is>
          <t>Each turnstile lane shall achieve a throughput of not less than ten (10) persons per minute.</t>
        </is>
      </c>
      <c r="C156" s="6" t="n"/>
      <c r="D156" s="13" t="n"/>
    </row>
    <row r="157">
      <c r="A157" s="11" t="inlineStr">
        <is>
          <t>TS-D.11</t>
        </is>
      </c>
      <c r="B157" s="12" t="inlineStr">
        <is>
          <t>Turnstiles shall fail to the free-rotation condition on loss of power and on receipt of a fire alarm signal.</t>
        </is>
      </c>
      <c r="C157" s="6" t="n"/>
      <c r="D157" s="13" t="n"/>
    </row>
    <row r="158">
      <c r="A158" s="11" t="inlineStr">
        <is>
          <t>TS-D.12</t>
        </is>
      </c>
      <c r="B158" s="12" t="inlineStr">
        <is>
          <t>The Contractor shall supply and install three (3) accessible swing gates, one at each turnstile bank and one at the gangway, each with credential readers on both sides.</t>
        </is>
      </c>
      <c r="C158" s="6" t="n"/>
      <c r="D158" s="13" t="n"/>
    </row>
    <row r="159">
      <c r="A159" s="11" t="inlineStr">
        <is>
          <t>TS-D.13</t>
        </is>
      </c>
      <c r="B159" s="12" t="inlineStr">
        <is>
          <t>Each turnstile lane shall be provided with an overhead camera and a face-capture camera in each direction.</t>
        </is>
      </c>
      <c r="C159" s="6" t="n"/>
      <c r="D159" s="13" t="n"/>
    </row>
    <row r="160">
      <c r="A160" s="11" t="inlineStr">
        <is>
          <t>TS-D.40</t>
        </is>
      </c>
      <c r="B160" s="12" t="inlineStr">
        <is>
          <t>Turnstile rotors shall be of four-arm configuration with a 90 deg segment, and shall provide a clear passage width of not less than 660 mm and a clear height of not less than 2,200 mm.</t>
        </is>
      </c>
      <c r="C160" s="6" t="n"/>
      <c r="D160" s="13" t="n"/>
    </row>
    <row r="161">
      <c r="A161" s="11" t="inlineStr">
        <is>
          <t>TS-D.41</t>
        </is>
      </c>
      <c r="B161" s="12" t="inlineStr">
        <is>
          <t>Turnstile mechanisms shall be rated for not fewer than two million (2,000,000) cycles, with a Mean Cycles Between Failures of not less than 1,000,000.</t>
        </is>
      </c>
      <c r="C161" s="6" t="n"/>
      <c r="D161" s="13" t="n"/>
    </row>
    <row r="162">
      <c r="A162" s="11" t="inlineStr">
        <is>
          <t>TS-D.42</t>
        </is>
      </c>
      <c r="B162" s="12" t="inlineStr">
        <is>
          <t>Turnstiles shall incorporate a hydraulic or electromechanical damper preventing free-spin and controlling rotor deceleration.</t>
        </is>
      </c>
      <c r="C162" s="6" t="n"/>
      <c r="D162" s="13" t="n"/>
    </row>
    <row r="163">
      <c r="A163" s="11" t="inlineStr">
        <is>
          <t>TS-D.43</t>
        </is>
      </c>
      <c r="B163" s="12" t="inlineStr">
        <is>
          <t>Turnstiles shall provide anti-tailgate control by mechanical segment, permitting the passage of one person per authorised presentation.</t>
        </is>
      </c>
      <c r="C163" s="6" t="n"/>
      <c r="D163" s="13" t="n"/>
    </row>
    <row r="164">
      <c r="A164" s="11" t="inlineStr">
        <is>
          <t>TS-D.44</t>
        </is>
      </c>
      <c r="B164" s="12" t="inlineStr">
        <is>
          <t>Turnstiles shall provide a directional indication to the user, and shall lock against movement in the unauthorised direction.</t>
        </is>
      </c>
      <c r="C164" s="6" t="n"/>
      <c r="D164" s="13" t="n"/>
    </row>
    <row r="165">
      <c r="A165" s="11" t="inlineStr">
        <is>
          <t>TS-D.45</t>
        </is>
      </c>
      <c r="B165" s="12" t="inlineStr">
        <is>
          <t>Turnstile lanes shall be supplied with integral lighting and shall be finished to withstand chloride exposure without visible corrosion for not less than ten (10) years.</t>
        </is>
      </c>
      <c r="C165" s="6" t="n"/>
      <c r="D165" s="13" t="n"/>
    </row>
    <row r="166">
      <c r="A166" s="11" t="inlineStr">
        <is>
          <t>TS-D.50</t>
        </is>
      </c>
      <c r="B166" s="12" t="inlineStr">
        <is>
          <t>Electric locking devices shall be fail-secure at all external portals and fail-safe on designated egress routes, as scheduled on drawing SEC-404.</t>
        </is>
      </c>
      <c r="C166" s="6" t="n"/>
      <c r="D166" s="13" t="n"/>
    </row>
    <row r="167">
      <c r="A167" s="11" t="inlineStr">
        <is>
          <t>TS-D.51</t>
        </is>
      </c>
      <c r="B167" s="12" t="inlineStr">
        <is>
          <t>Electromagnetic locks, where used, shall provide a holding force of not less than 1,200 lbf and shall be monitored for bond status.</t>
        </is>
      </c>
      <c r="C167" s="6" t="n"/>
      <c r="D167" s="13" t="n"/>
    </row>
    <row r="168">
      <c r="A168" s="11" t="inlineStr">
        <is>
          <t>TS-D.52</t>
        </is>
      </c>
      <c r="B168" s="12" t="inlineStr">
        <is>
          <t>All controlled doors shall be monitored for position, forced entry and door-held-open, each reported as a distinct event.</t>
        </is>
      </c>
      <c r="C168" s="6" t="n"/>
      <c r="D168" s="13" t="n"/>
    </row>
    <row r="169">
      <c r="A169" s="11" t="inlineStr">
        <is>
          <t>TS-D.53</t>
        </is>
      </c>
      <c r="B169" s="12" t="inlineStr">
        <is>
          <t>Request-to-exit devices shall be provided at all controlled doors and shall not be the sole means of egress.</t>
        </is>
      </c>
      <c r="C169" s="6" t="n"/>
      <c r="D169" s="13" t="n"/>
    </row>
    <row r="170">
      <c r="A170" s="11" t="inlineStr">
        <is>
          <t>TS-D.60</t>
        </is>
      </c>
      <c r="B170" s="12" t="inlineStr">
        <is>
          <t>The access control application shall provide role-based administration, with the ability to delegate cardholder administration without granting configuration rights.</t>
        </is>
      </c>
      <c r="C170" s="6" t="n"/>
      <c r="D170" s="13" t="n"/>
    </row>
    <row r="171">
      <c r="A171" s="11" t="inlineStr">
        <is>
          <t>TS-D.61</t>
        </is>
      </c>
      <c r="B171" s="12" t="inlineStr">
        <is>
          <t>The system shall support scheduled and event-driven changes to access rules, and shall support temporary credentials with an automatic expiry.</t>
        </is>
      </c>
      <c r="C171" s="6" t="n"/>
      <c r="D171" s="13" t="n"/>
    </row>
    <row r="172">
      <c r="A172" s="11" t="inlineStr">
        <is>
          <t>TS-D.62</t>
        </is>
      </c>
      <c r="B172" s="12" t="inlineStr">
        <is>
          <t>The system shall support visitor management, including pre-registration, escort assignment and automatic expiry.</t>
        </is>
      </c>
      <c r="C172" s="6" t="n"/>
      <c r="D172" s="13" t="n"/>
    </row>
    <row r="173">
      <c r="A173" s="11" t="inlineStr">
        <is>
          <t>TS-D.63</t>
        </is>
      </c>
      <c r="B173" s="12" t="inlineStr">
        <is>
          <t>The system shall record, for every credential holder, the TWIC expiry date, and shall automatically deny access on expiry without administrator action.</t>
        </is>
      </c>
      <c r="C173" s="6" t="n"/>
      <c r="D173" s="13" t="n"/>
    </row>
    <row r="174">
      <c r="A174" s="11" t="inlineStr">
        <is>
          <t>TS-D.64</t>
        </is>
      </c>
      <c r="B174" s="12" t="inlineStr">
        <is>
          <t>The system shall provide a documented application programming interface for integration to the PSIM platform and to the Authority's identity systems.</t>
        </is>
      </c>
      <c r="C174" s="6" t="n"/>
      <c r="D174" s="13" t="n"/>
    </row>
    <row r="175">
      <c r="A175" s="11" t="inlineStr">
        <is>
          <t>TS-D.65</t>
        </is>
      </c>
      <c r="B175" s="12" t="inlineStr">
        <is>
          <t>The system database shall be replicated to a standby instance with automatic failover, and the failover shall be demonstrated at the Site Acceptance Test.</t>
        </is>
      </c>
      <c r="C175" s="6" t="n"/>
      <c r="D175" s="13" t="n"/>
    </row>
    <row r="176">
      <c r="A176" s="9" t="inlineStr">
        <is>
          <t>TS — 6. SYSTEM E — VEHICLE BARRIERS AND GATES</t>
        </is>
      </c>
      <c r="B176" s="10" t="n"/>
      <c r="C176" s="10" t="n"/>
      <c r="D176" s="10" t="n"/>
    </row>
    <row r="177">
      <c r="A177" s="11" t="inlineStr">
        <is>
          <t>TS-E.1</t>
        </is>
      </c>
      <c r="B177" s="12" t="inlineStr">
        <is>
          <t>The Contractor shall supply and install five (5) crash-rated sliding gates and twelve (12) vertical arm barriers as scheduled in the Bill of Quantities.</t>
        </is>
      </c>
      <c r="C177" s="6" t="n"/>
      <c r="D177" s="13" t="n"/>
    </row>
    <row r="178">
      <c r="A178" s="11" t="inlineStr">
        <is>
          <t>TS-E.2</t>
        </is>
      </c>
      <c r="B178" s="12" t="inlineStr">
        <is>
          <t>Crash-rated sliding gates shall be certified to ASTM F2656 rating M50 / P1.</t>
        </is>
      </c>
      <c r="C178" s="6" t="n"/>
      <c r="D178" s="13" t="n"/>
    </row>
    <row r="179">
      <c r="A179" s="11" t="inlineStr">
        <is>
          <t>TS-E.3</t>
        </is>
      </c>
      <c r="B179" s="12" t="inlineStr">
        <is>
          <t>Crash-rated sliding gates at two-lane crossings shall provide a clear opening of not less than twenty-four (24) feet. Single-lane gates shall provide a clear opening of not less than sixteen (16) feet.</t>
        </is>
      </c>
      <c r="C179" s="6" t="n"/>
      <c r="D179" s="13" t="n"/>
    </row>
    <row r="180">
      <c r="A180" s="11" t="inlineStr">
        <is>
          <t>TS-E.5</t>
        </is>
      </c>
      <c r="B180" s="12" t="inlineStr">
        <is>
          <t>All gate operators shall be listed to UL 325 and all automated vehicular gates shall comply with ASTM F2200.</t>
        </is>
      </c>
      <c r="C180" s="6" t="n"/>
      <c r="D180" s="13" t="n"/>
    </row>
    <row r="181">
      <c r="A181" s="11" t="inlineStr">
        <is>
          <t>TS-E.6</t>
        </is>
      </c>
      <c r="B181" s="12" t="inlineStr">
        <is>
          <t>Gate operators shall be provided with entrapment protection in accordance with UL 325 for the applicable usage class.</t>
        </is>
      </c>
      <c r="C181" s="6" t="n"/>
      <c r="D181" s="13" t="n"/>
    </row>
    <row r="182">
      <c r="A182" s="11" t="inlineStr">
        <is>
          <t>TS-E.7</t>
        </is>
      </c>
      <c r="B182" s="12" t="inlineStr">
        <is>
          <t>Vertical arm barriers shall achieve a full open or full close cycle in not more than 1.5 seconds.</t>
        </is>
      </c>
      <c r="C182" s="6" t="n"/>
      <c r="D182" s="13" t="n"/>
    </row>
    <row r="183">
      <c r="A183" s="11" t="inlineStr">
        <is>
          <t>TS-E.8</t>
        </is>
      </c>
      <c r="B183" s="12" t="inlineStr">
        <is>
          <t>Vertical arm barriers shall be rated for not fewer than three million (3,000,000) operating cycles.</t>
        </is>
      </c>
      <c r="C183" s="6" t="n"/>
      <c r="D183" s="13" t="n"/>
    </row>
    <row r="184">
      <c r="A184" s="11" t="inlineStr">
        <is>
          <t>TS-E.9</t>
        </is>
      </c>
      <c r="B184" s="12" t="inlineStr">
        <is>
          <t>All gates and barriers shall be provided with local manual release for emergency access.</t>
        </is>
      </c>
      <c r="C184" s="6" t="n"/>
      <c r="D184" s="13" t="n"/>
    </row>
    <row r="185">
      <c r="A185" s="11" t="inlineStr">
        <is>
          <t>TS-E.10</t>
        </is>
      </c>
      <c r="B185" s="12" t="inlineStr">
        <is>
          <t>All gates and barriers shall be integrated to the Security Management System such that position and fault status are reported.</t>
        </is>
      </c>
      <c r="C185" s="6" t="n"/>
      <c r="D185" s="13" t="n"/>
    </row>
    <row r="186">
      <c r="A186" s="11" t="inlineStr">
        <is>
          <t>TS-E.11</t>
        </is>
      </c>
      <c r="B186" s="12" t="inlineStr">
        <is>
          <t>Barrier arms shall be of a frangible or articulating type such that impact does not damage the operator mechanism.</t>
        </is>
      </c>
      <c r="C186" s="6" t="n"/>
      <c r="D186" s="13" t="n"/>
    </row>
    <row r="187">
      <c r="A187" s="11" t="inlineStr">
        <is>
          <t>TS-E.12</t>
        </is>
      </c>
      <c r="B187" s="12" t="inlineStr">
        <is>
          <t>Each barrier shall be provided with a safety loop and a photoelectric beam preventing closure on a vehicle.</t>
        </is>
      </c>
      <c r="C187" s="6" t="n"/>
      <c r="D187" s="13" t="n"/>
    </row>
    <row r="188">
      <c r="A188" s="11" t="inlineStr">
        <is>
          <t>TS-E.13</t>
        </is>
      </c>
      <c r="B188" s="12" t="inlineStr">
        <is>
          <t>Gate and barrier operators shall be supplied with a battery backup providing not fewer than fifty (50) cycles or two (2) hours of standby, whichever is the greater.</t>
        </is>
      </c>
      <c r="C188" s="6" t="n"/>
      <c r="D188" s="13" t="n"/>
    </row>
    <row r="189">
      <c r="A189" s="9" t="inlineStr">
        <is>
          <t>TS — 7. SYSTEM F — SECURITY OPERATIONS CENTRE</t>
        </is>
      </c>
      <c r="B189" s="10" t="n"/>
      <c r="C189" s="10" t="n"/>
      <c r="D189" s="10" t="n"/>
    </row>
    <row r="190">
      <c r="A190" s="11" t="inlineStr">
        <is>
          <t>TS-F.1</t>
        </is>
      </c>
      <c r="B190" s="12" t="inlineStr">
        <is>
          <t>The Contractor shall fit out a Security Operations Centre of approximately 2,200 square feet, comprising an operations floor, an equipment room, a Facility Security Officer's office and support accommodation.</t>
        </is>
      </c>
      <c r="C190" s="6" t="n"/>
      <c r="D190" s="13" t="n"/>
    </row>
    <row r="191">
      <c r="A191" s="11" t="inlineStr">
        <is>
          <t>TS-F.2</t>
        </is>
      </c>
      <c r="B191" s="12" t="inlineStr">
        <is>
          <t>The operations floor shall accommodate four (4) operator consoles.</t>
        </is>
      </c>
      <c r="C191" s="6" t="n"/>
      <c r="D191" s="13" t="n"/>
    </row>
    <row r="192">
      <c r="A192" s="11" t="inlineStr">
        <is>
          <t>TS-F.3</t>
        </is>
      </c>
      <c r="B192" s="12" t="inlineStr">
        <is>
          <t>Each console shall be provided with not fewer than four (4) displays.</t>
        </is>
      </c>
      <c r="C192" s="6" t="n"/>
      <c r="D192" s="13" t="n"/>
    </row>
    <row r="193">
      <c r="A193" s="11" t="inlineStr">
        <is>
          <t>TS-F.4</t>
        </is>
      </c>
      <c r="B193" s="12" t="inlineStr">
        <is>
          <t>A video wall of fifteen (15) displays in a three by five array shall be provided.</t>
        </is>
      </c>
      <c r="C193" s="6" t="n"/>
      <c r="D193" s="13" t="n"/>
    </row>
    <row r="194">
      <c r="A194" s="11" t="inlineStr">
        <is>
          <t>TS-F.5</t>
        </is>
      </c>
      <c r="B194" s="12" t="inlineStr">
        <is>
          <t>The video wall shall be driven by a controller supporting operator-selectable layouts and alarm-driven automatic presentation.</t>
        </is>
      </c>
      <c r="C194" s="6" t="n"/>
      <c r="D194" s="13" t="n"/>
    </row>
    <row r="195">
      <c r="A195" s="11" t="inlineStr">
        <is>
          <t>TS-F.6</t>
        </is>
      </c>
      <c r="B195" s="12" t="inlineStr">
        <is>
          <t>The equipment room shall accommodate six (6) 42U equipment racks.</t>
        </is>
      </c>
      <c r="C195" s="6" t="n"/>
      <c r="D195" s="13" t="n"/>
    </row>
    <row r="196">
      <c r="A196" s="11" t="inlineStr">
        <is>
          <t>TS-F.7</t>
        </is>
      </c>
      <c r="B196" s="12" t="inlineStr">
        <is>
          <t>The equipment room shall be provided with dedicated cooling sized for the connected load plus fifty percent (50%), with N+1 redundancy.</t>
        </is>
      </c>
      <c r="C196" s="6" t="n"/>
      <c r="D196" s="13" t="n"/>
    </row>
    <row r="197">
      <c r="A197" s="11" t="inlineStr">
        <is>
          <t>TS-F.8</t>
        </is>
      </c>
      <c r="B197" s="12" t="inlineStr">
        <is>
          <t>A Physical Security Information Management platform shall be provided, presenting all systems in a single operator interface with alarm handling, standard operating procedures and audit logging.</t>
        </is>
      </c>
      <c r="C197" s="6" t="n"/>
      <c r="D197" s="13" t="n"/>
    </row>
    <row r="198">
      <c r="A198" s="11" t="inlineStr">
        <is>
          <t>TS-F.9</t>
        </is>
      </c>
      <c r="B198" s="12" t="inlineStr">
        <is>
          <t>The operations floor shall have a background noise level not exceeding 35 dBA.</t>
        </is>
      </c>
      <c r="C198" s="6" t="n"/>
      <c r="D198" s="13" t="n"/>
    </row>
    <row r="199">
      <c r="A199" s="11" t="inlineStr">
        <is>
          <t>TS-F.10</t>
        </is>
      </c>
      <c r="B199" s="12" t="inlineStr">
        <is>
          <t>The operations floor shall be provided with lighting appropriate to continuous screen-based work.</t>
        </is>
      </c>
      <c r="C199" s="6" t="n"/>
      <c r="D199" s="13" t="n"/>
    </row>
    <row r="200">
      <c r="A200" s="9" t="inlineStr">
        <is>
          <t>TS — 8. SYSTEM G — NETWORK AND CABLING</t>
        </is>
      </c>
      <c r="B200" s="10" t="n"/>
      <c r="C200" s="10" t="n"/>
      <c r="D200" s="10" t="n"/>
    </row>
    <row r="201">
      <c r="A201" s="11" t="inlineStr">
        <is>
          <t>TS-G.1</t>
        </is>
      </c>
      <c r="B201" s="12" t="inlineStr">
        <is>
          <t>The Contractor shall supply and install a dedicated security network, physically separate from the terminal operational technology network and from the Authority's business network.</t>
        </is>
      </c>
      <c r="C201" s="6" t="n"/>
      <c r="D201" s="13" t="n"/>
    </row>
    <row r="202">
      <c r="A202" s="11" t="inlineStr">
        <is>
          <t>TS-G.2</t>
        </is>
      </c>
      <c r="B202" s="12" t="inlineStr">
        <is>
          <t>The security network backbone shall be single-mode fibre in a fully redundant ring topology serving every field cabinet.</t>
        </is>
      </c>
      <c r="C202" s="6" t="n"/>
      <c r="D202" s="13" t="n"/>
    </row>
    <row r="203">
      <c r="A203" s="11" t="inlineStr">
        <is>
          <t>TS-G.3</t>
        </is>
      </c>
      <c r="B203" s="12" t="inlineStr">
        <is>
          <t>Core switching shall be provided in a redundant pair with sub-second failover.</t>
        </is>
      </c>
      <c r="C203" s="6" t="n"/>
      <c r="D203" s="13" t="n"/>
    </row>
    <row r="204">
      <c r="A204" s="11" t="inlineStr">
        <is>
          <t>TS-G.4</t>
        </is>
      </c>
      <c r="B204" s="12" t="inlineStr">
        <is>
          <t>All field-connected devices shall authenticate to the network using IEEE 802.1X.</t>
        </is>
      </c>
      <c r="C204" s="6" t="n"/>
      <c r="D204" s="13" t="n"/>
    </row>
    <row r="205">
      <c r="A205" s="11" t="inlineStr">
        <is>
          <t>TS-G.5</t>
        </is>
      </c>
      <c r="B205" s="12" t="inlineStr">
        <is>
          <t>The Contractor shall supply and install twelve (12) outdoor field cabinets, rated NEMA 4X, of stainless steel construction, thermostatically controlled, each containing a PoE switch, fibre termination and a local uninterruptible power supply.</t>
        </is>
      </c>
      <c r="C205" s="6" t="n"/>
      <c r="D205" s="13" t="n"/>
    </row>
    <row r="206">
      <c r="A206" s="11" t="inlineStr">
        <is>
          <t>TS-G.6</t>
        </is>
      </c>
      <c r="B206" s="12" t="inlineStr">
        <is>
          <t>Structured cabling shall comply with TIA-568, TIA-569 and TIA-606.</t>
        </is>
      </c>
      <c r="C206" s="6" t="n"/>
      <c r="D206" s="13" t="n"/>
    </row>
    <row r="207">
      <c r="A207" s="11" t="inlineStr">
        <is>
          <t>TS-G.7</t>
        </is>
      </c>
      <c r="B207" s="12" t="inlineStr">
        <is>
          <t>All outdoor cabling shall be provided with surge protection at both ends.</t>
        </is>
      </c>
      <c r="C207" s="6" t="n"/>
      <c r="D207" s="13" t="n"/>
    </row>
    <row r="208">
      <c r="A208" s="11" t="inlineStr">
        <is>
          <t>TS-G.8</t>
        </is>
      </c>
      <c r="B208" s="12" t="inlineStr">
        <is>
          <t>All cables shall be labelled at both ends in accordance with TIA-606 and shall be recorded in the as-built cable schedule.</t>
        </is>
      </c>
      <c r="C208" s="6" t="n"/>
      <c r="D208" s="13" t="n"/>
    </row>
    <row r="209">
      <c r="A209" s="11" t="inlineStr">
        <is>
          <t>TS-G.9</t>
        </is>
      </c>
      <c r="B209" s="12" t="inlineStr">
        <is>
          <t>Field switches shall provide PoE budget sufficient for all connected devices with one spare port of full budget per cabinet.</t>
        </is>
      </c>
      <c r="C209" s="6" t="n"/>
      <c r="D209" s="13" t="n"/>
    </row>
    <row r="210">
      <c r="A210" s="11" t="inlineStr">
        <is>
          <t>TS-G.10</t>
        </is>
      </c>
      <c r="B210" s="12" t="inlineStr">
        <is>
          <t>The network shall be designed with not less than fifty percent (50%) spare bandwidth on every backbone link at the design camera count and bit rate.</t>
        </is>
      </c>
      <c r="C210" s="6" t="n"/>
      <c r="D210" s="13" t="n"/>
    </row>
    <row r="211">
      <c r="A211" s="9" t="inlineStr">
        <is>
          <t>TS — 9. SYSTEM H — POWER</t>
        </is>
      </c>
      <c r="B211" s="10" t="n"/>
      <c r="C211" s="10" t="n"/>
      <c r="D211" s="10" t="n"/>
    </row>
    <row r="212">
      <c r="A212" s="11" t="inlineStr">
        <is>
          <t>TS-H.1</t>
        </is>
      </c>
      <c r="B212" s="12" t="inlineStr">
        <is>
          <t>The Contractor shall supply and install two (2) uninterruptible power supplies of 40 kVA each, configured N+1.</t>
        </is>
      </c>
      <c r="C212" s="6" t="n"/>
      <c r="D212" s="13" t="n"/>
    </row>
    <row r="213">
      <c r="A213" s="11" t="inlineStr">
        <is>
          <t>TS-H.2</t>
        </is>
      </c>
      <c r="B213" s="12" t="inlineStr">
        <is>
          <t>The uninterruptible power supplies shall sustain the full connected security load for not less than thirty (30) minutes.</t>
        </is>
      </c>
      <c r="C213" s="6" t="n"/>
      <c r="D213" s="13" t="n"/>
    </row>
    <row r="214">
      <c r="A214" s="11" t="inlineStr">
        <is>
          <t>TS-H.3</t>
        </is>
      </c>
      <c r="B214" s="12" t="inlineStr">
        <is>
          <t>The Contractor shall supply and install a standby generator of not less than 250 kW, compliant with NFPA 110, with a fuel tank sized for seventy-two (72) hours at full load.</t>
        </is>
      </c>
      <c r="C214" s="6" t="n"/>
      <c r="D214" s="13" t="n"/>
    </row>
    <row r="215">
      <c r="A215" s="11" t="inlineStr">
        <is>
          <t>TS-H.4</t>
        </is>
      </c>
      <c r="B215" s="12" t="inlineStr">
        <is>
          <t>The generator shall start and accept load within ten (10) seconds of loss of utility supply.</t>
        </is>
      </c>
      <c r="C215" s="6" t="n"/>
      <c r="D215" s="13" t="n"/>
    </row>
    <row r="216">
      <c r="A216" s="11" t="inlineStr">
        <is>
          <t>TS-H.5</t>
        </is>
      </c>
      <c r="B216" s="12" t="inlineStr">
        <is>
          <t>Each outdoor field cabinet shall be provided with a local uninterruptible power supply sustaining the cabinet load for not less than thirty (30) minutes.</t>
        </is>
      </c>
      <c r="C216" s="6" t="n"/>
      <c r="D216" s="13" t="n"/>
    </row>
    <row r="217">
      <c r="A217" s="11" t="inlineStr">
        <is>
          <t>TS-H.6</t>
        </is>
      </c>
      <c r="B217" s="12" t="inlineStr">
        <is>
          <t>All security power distribution shall be separately metered and monitored.</t>
        </is>
      </c>
      <c r="C217" s="6" t="n"/>
      <c r="D217" s="13" t="n"/>
    </row>
    <row r="218">
      <c r="A218" s="9" t="inlineStr">
        <is>
          <t>TS — 10. SYSTEM I — CIVIL AND BUILDER'S WORK</t>
        </is>
      </c>
      <c r="B218" s="10" t="n"/>
      <c r="C218" s="10" t="n"/>
      <c r="D218" s="10" t="n"/>
    </row>
    <row r="219">
      <c r="A219" s="11" t="inlineStr">
        <is>
          <t>TS-I.1</t>
        </is>
      </c>
      <c r="B219" s="12" t="inlineStr">
        <is>
          <t>The Contractor shall provide all civil works necessary for the Works, including foundations for poles, masts, cabinets, gates, barriers and turnstiles; ducts and chambers; the patrol road; and reinstatement of all disturbed surfaces.</t>
        </is>
      </c>
      <c r="C219" s="6" t="n"/>
      <c r="D219" s="13" t="n"/>
    </row>
    <row r="220">
      <c r="A220" s="11" t="inlineStr">
        <is>
          <t>TS-I.2</t>
        </is>
      </c>
      <c r="B220" s="12" t="inlineStr">
        <is>
          <t>All foundations shall be designed by a Professional Engineer registered in the State.</t>
        </is>
      </c>
      <c r="C220" s="6" t="n"/>
      <c r="D220" s="13" t="n"/>
    </row>
    <row r="221">
      <c r="A221" s="11" t="inlineStr">
        <is>
          <t>TS-I.3</t>
        </is>
      </c>
      <c r="B221" s="12" t="inlineStr">
        <is>
          <t>All excavation shall be preceded by utility location and by hand digging within three (3) feet of any known service.</t>
        </is>
      </c>
      <c r="C221" s="6" t="n"/>
      <c r="D221" s="13" t="n"/>
    </row>
    <row r="222">
      <c r="A222" s="11" t="inlineStr">
        <is>
          <t>TS-I.4</t>
        </is>
      </c>
      <c r="B222" s="12" t="inlineStr">
        <is>
          <t>All reinstatement shall match the existing surface in construction and finish.</t>
        </is>
      </c>
      <c r="C222" s="6" t="n"/>
      <c r="D222" s="13" t="n"/>
    </row>
    <row r="223">
      <c r="A223" s="11" t="inlineStr">
        <is>
          <t>TS-I.5</t>
        </is>
      </c>
      <c r="B223" s="12" t="inlineStr">
        <is>
          <t>The Contractor shall make good any damage to terminal pavements, rails, services or equipment arising from its works.</t>
        </is>
      </c>
      <c r="C223" s="6" t="n"/>
      <c r="D223" s="13" t="n"/>
    </row>
    <row r="224">
      <c r="A224" s="9" t="inlineStr">
        <is>
          <t>DOCUMENT 5 — INTEGRATION AND INTERFACE SPECIFICATION</t>
        </is>
      </c>
      <c r="B224" s="10" t="n"/>
      <c r="C224" s="10" t="n"/>
      <c r="D224" s="10" t="n"/>
    </row>
    <row r="225">
      <c r="A225" s="9" t="inlineStr">
        <is>
          <t>IF — 1. GENERAL</t>
        </is>
      </c>
      <c r="B225" s="10" t="n"/>
      <c r="C225" s="10" t="n"/>
      <c r="D225" s="10" t="n"/>
    </row>
    <row r="226">
      <c r="A226" s="11" t="inlineStr">
        <is>
          <t>IF-1.1</t>
        </is>
      </c>
      <c r="B226" s="12" t="inlineStr">
        <is>
          <t>This document defines the interfaces between the Works and systems provided by others.</t>
        </is>
      </c>
      <c r="C226" s="6" t="n"/>
      <c r="D226" s="13" t="n"/>
    </row>
    <row r="227">
      <c r="A227" s="11" t="inlineStr">
        <is>
          <t>IF-1.2</t>
        </is>
      </c>
      <c r="B227" s="12" t="inlineStr">
        <is>
          <t>The Contractor shall design, develop, test and commission all interfaces described in this document.</t>
        </is>
      </c>
      <c r="C227" s="6" t="n"/>
      <c r="D227" s="13" t="n"/>
    </row>
    <row r="228">
      <c r="A228" s="11" t="inlineStr">
        <is>
          <t>IF-1.3</t>
        </is>
      </c>
      <c r="B228" s="12" t="inlineStr">
        <is>
          <t>The Contractor shall be responsible for obtaining from each third-party system provider such interface specifications, licences, test environments and support as it requires.</t>
        </is>
      </c>
      <c r="C228" s="6" t="n"/>
      <c r="D228" s="13" t="n"/>
    </row>
    <row r="229">
      <c r="A229" s="11" t="inlineStr">
        <is>
          <t>IF-1.4</t>
        </is>
      </c>
      <c r="B229" s="12" t="inlineStr">
        <is>
          <t>The Authority will facilitate an introduction to each third-party system provider. The Authority gives no warranty as to the willingness, timescale or commercial terms of any such provider.</t>
        </is>
      </c>
      <c r="C229" s="6" t="n"/>
      <c r="D229" s="13" t="n"/>
    </row>
    <row r="230">
      <c r="A230" s="11" t="inlineStr">
        <is>
          <t>IF-1.5</t>
        </is>
      </c>
      <c r="B230" s="12" t="inlineStr">
        <is>
          <t>Each interface shall be documented in an Interface Control Document submitted for approval at Critical Design Review.</t>
        </is>
      </c>
      <c r="C230" s="6" t="n"/>
      <c r="D230" s="13" t="n"/>
    </row>
    <row r="231">
      <c r="A231" s="11" t="inlineStr">
        <is>
          <t>IF-1.6</t>
        </is>
      </c>
      <c r="B231" s="12" t="inlineStr">
        <is>
          <t>Each interface shall be tested end to end during the Site Acceptance Test.</t>
        </is>
      </c>
      <c r="C231" s="6" t="n"/>
      <c r="D231" s="13" t="n"/>
    </row>
    <row r="232">
      <c r="A232" s="9" t="inlineStr">
        <is>
          <t>IF — 2. INTERFACE 1 — TERMINAL OPERATING SYSTEM</t>
        </is>
      </c>
      <c r="B232" s="10" t="n"/>
      <c r="C232" s="10" t="n"/>
      <c r="D232" s="10" t="n"/>
    </row>
    <row r="233">
      <c r="A233" s="11" t="inlineStr">
        <is>
          <t>IF-2.1</t>
        </is>
      </c>
      <c r="B233" s="12" t="inlineStr">
        <is>
          <t>The security pre-gate shall query the Terminal Operating System to establish whether the driver and vehicle presenting at the lane have a valid reason to enter the Site.</t>
        </is>
      </c>
      <c r="C233" s="6" t="n"/>
      <c r="D233" s="13" t="n"/>
    </row>
    <row r="234">
      <c r="A234" s="11" t="inlineStr">
        <is>
          <t>IF-2.2</t>
        </is>
      </c>
      <c r="B234" s="12" t="inlineStr">
        <is>
          <t>The Contractor shall integrate the security system with the Terminal Operating System in use at the Site.</t>
        </is>
      </c>
      <c r="C234" s="6" t="n"/>
      <c r="D234" s="13" t="n"/>
    </row>
    <row r="235">
      <c r="A235" s="11" t="inlineStr">
        <is>
          <t>IF-2.3</t>
        </is>
      </c>
      <c r="B235" s="12" t="inlineStr">
        <is>
          <t>The interface shall support a synchronous query returning, for a given credential identifier and vehicle identifier: whether a booking or appointment exists; the appointment window; the transaction type; and the expected container, where one is associated.</t>
        </is>
      </c>
      <c r="C235" s="6" t="n"/>
      <c r="D235" s="13" t="n"/>
    </row>
    <row r="236">
      <c r="A236" s="11" t="inlineStr">
        <is>
          <t>IF-2.4</t>
        </is>
      </c>
      <c r="B236" s="12" t="inlineStr">
        <is>
          <t>The interface shall return a response within two (2) seconds of the query being issued.</t>
        </is>
      </c>
      <c r="C236" s="6" t="n"/>
      <c r="D236" s="13" t="n"/>
    </row>
    <row r="237">
      <c r="A237" s="11" t="inlineStr">
        <is>
          <t>IF-2.5</t>
        </is>
      </c>
      <c r="B237" s="12" t="inlineStr">
        <is>
          <t>The interface shall support not fewer than fifty (50) queries per minute.</t>
        </is>
      </c>
      <c r="C237" s="6" t="n"/>
      <c r="D237" s="13" t="n"/>
    </row>
    <row r="238">
      <c r="A238" s="11" t="inlineStr">
        <is>
          <t>IF-2.6</t>
        </is>
      </c>
      <c r="B238" s="12" t="inlineStr">
        <is>
          <t>The interface shall use a secure transport with mutual authentication.</t>
        </is>
      </c>
      <c r="C238" s="6" t="n"/>
      <c r="D238" s="13" t="n"/>
    </row>
    <row r="239">
      <c r="A239" s="11" t="inlineStr">
        <is>
          <t>IF-2.7</t>
        </is>
      </c>
      <c r="B239" s="12" t="inlineStr">
        <is>
          <t>The Contractor may propose REST, web services, UN/EDIFACT message exchange (COPARN, CODECO) or XML messaging, subject to the capability of the Terminal Operating System.</t>
        </is>
      </c>
      <c r="C239" s="6" t="n"/>
      <c r="D239" s="13" t="n"/>
    </row>
    <row r="240">
      <c r="A240" s="11" t="inlineStr">
        <is>
          <t>IF-2.8</t>
        </is>
      </c>
      <c r="B240" s="12" t="inlineStr">
        <is>
          <t>The Contractor shall not require any modification to the Terminal Operating System.</t>
        </is>
      </c>
      <c r="C240" s="6" t="n"/>
      <c r="D240" s="13" t="n"/>
    </row>
    <row r="241">
      <c r="A241" s="11" t="inlineStr">
        <is>
          <t>IF-2.9</t>
        </is>
      </c>
      <c r="B241" s="12" t="inlineStr">
        <is>
          <t>Where the Terminal Operating System is unavailable, the pre-gate shall continue to operate and shall record the transaction for subsequent reconciliation.</t>
        </is>
      </c>
      <c r="C241" s="6" t="n"/>
      <c r="D241" s="13" t="n"/>
    </row>
    <row r="242">
      <c r="A242" s="9" t="inlineStr">
        <is>
          <t>IF — 3. INTERFACE 2 — GATE OPERATING SYSTEM</t>
        </is>
      </c>
      <c r="B242" s="10" t="n"/>
      <c r="C242" s="10" t="n"/>
      <c r="D242" s="10" t="n"/>
    </row>
    <row r="243">
      <c r="A243" s="11" t="inlineStr">
        <is>
          <t>IF-3.1</t>
        </is>
      </c>
      <c r="B243" s="12" t="inlineStr">
        <is>
          <t>The Gate Operating System is provided by others and is outside the scope of this Contract. The security system shall provide the Gate Operating System with the identity of the driver admitted at the pre-gate, so that the commercial transaction may proceed without a second credential presentation.</t>
        </is>
      </c>
      <c r="C243" s="6" t="n"/>
      <c r="D243" s="13" t="n"/>
    </row>
    <row r="244">
      <c r="A244" s="11" t="inlineStr">
        <is>
          <t>IF-3.2</t>
        </is>
      </c>
      <c r="B244" s="12" t="inlineStr">
        <is>
          <t>On admitting a vehicle, the security system shall transmit to the Gate Operating System: the driver identifier; the credential expiry; the vehicle licence plate; the chassis identifier; the RFID tractor tag; the lane and time of admission; and the pre-gate decision reference.</t>
        </is>
      </c>
      <c r="C244" s="6" t="n"/>
      <c r="D244" s="13" t="n"/>
    </row>
    <row r="245">
      <c r="A245" s="11" t="inlineStr">
        <is>
          <t>IF-3.3</t>
        </is>
      </c>
      <c r="B245" s="12" t="inlineStr">
        <is>
          <t>The transmission shall occur within one (1) second of the barrier being raised.</t>
        </is>
      </c>
      <c r="C245" s="6" t="n"/>
      <c r="D245" s="13" t="n"/>
    </row>
    <row r="246">
      <c r="A246" s="11" t="inlineStr">
        <is>
          <t>IF-3.4</t>
        </is>
      </c>
      <c r="B246" s="12" t="inlineStr">
        <is>
          <t>The interface shall be resilient to the unavailability of the Gate Operating System, queuing messages for delivery on restoration.</t>
        </is>
      </c>
      <c r="C246" s="6" t="n"/>
      <c r="D246" s="13" t="n"/>
    </row>
    <row r="247">
      <c r="A247" s="11" t="inlineStr">
        <is>
          <t>IF-3.5</t>
        </is>
      </c>
      <c r="B247" s="12" t="inlineStr">
        <is>
          <t>The security system shall not receive, process or store any commercial data from the Gate Operating System.</t>
        </is>
      </c>
      <c r="C247" s="6" t="n"/>
      <c r="D247" s="13" t="n"/>
    </row>
    <row r="248">
      <c r="A248" s="9" t="inlineStr">
        <is>
          <t>IF — 4. INTERFACE 3 — LAW ENFORCEMENT WATCHLIST</t>
        </is>
      </c>
      <c r="B248" s="10" t="n"/>
      <c r="C248" s="10" t="n"/>
      <c r="D248" s="10" t="n"/>
    </row>
    <row r="249">
      <c r="A249" s="11" t="inlineStr">
        <is>
          <t>IF-4.1</t>
        </is>
      </c>
      <c r="B249" s="12" t="inlineStr">
        <is>
          <t>The security pre-gate shall establish whether the driver or the vehicle presenting at the lane is the subject of a law enforcement record of interest.</t>
        </is>
      </c>
      <c r="C249" s="6" t="n"/>
      <c r="D249" s="13" t="n"/>
    </row>
    <row r="250">
      <c r="A250" s="11" t="inlineStr">
        <is>
          <t>IF-4.2</t>
        </is>
      </c>
      <c r="B250" s="12" t="inlineStr">
        <is>
          <t>The system shall query the National Crime Information Center (NCIC) for each driver presenting at the pre-gate, using the identity data read from the credential.</t>
        </is>
      </c>
      <c r="C250" s="6" t="n"/>
      <c r="D250" s="13" t="n"/>
    </row>
    <row r="251">
      <c r="A251" s="11" t="inlineStr">
        <is>
          <t>IF-4.3</t>
        </is>
      </c>
      <c r="B251" s="12" t="inlineStr">
        <is>
          <t>The system shall query the National Crime Information Center for each vehicle presenting at the pre-gate, using the licence plate read by the optical character recognition portal.</t>
        </is>
      </c>
      <c r="C251" s="6" t="n"/>
      <c r="D251" s="13" t="n"/>
    </row>
    <row r="252">
      <c r="A252" s="11" t="inlineStr">
        <is>
          <t>IF-4.4</t>
        </is>
      </c>
      <c r="B252" s="12" t="inlineStr">
        <is>
          <t>A positive response shall be presented to the Command and Control operator and shall be logged.</t>
        </is>
      </c>
      <c r="C252" s="6" t="n"/>
      <c r="D252" s="13" t="n"/>
    </row>
    <row r="253">
      <c r="A253" s="11" t="inlineStr">
        <is>
          <t>IF-4.5</t>
        </is>
      </c>
      <c r="B253" s="12" t="inlineStr">
        <is>
          <t>The interface shall return a response within three (3) seconds.</t>
        </is>
      </c>
      <c r="C253" s="6" t="n"/>
      <c r="D253" s="13" t="n"/>
    </row>
    <row r="254">
      <c r="A254" s="11" t="inlineStr">
        <is>
          <t>IF-4.6</t>
        </is>
      </c>
      <c r="B254" s="12" t="inlineStr">
        <is>
          <t>Where the watchlist interface is unavailable, the pre-gate shall fail closed and no vehicle shall be admitted until the interface is restored.</t>
        </is>
      </c>
      <c r="C254" s="6" t="n"/>
      <c r="D254" s="13" t="n"/>
    </row>
    <row r="255">
      <c r="A255" s="11" t="inlineStr">
        <is>
          <t>IF-4.7</t>
        </is>
      </c>
      <c r="B255" s="12" t="inlineStr">
        <is>
          <t>The system shall additionally check each credential against the Transportation Security Administration's TWIC Canceled Card List.</t>
        </is>
      </c>
      <c r="C255" s="6" t="n"/>
      <c r="D255" s="13" t="n"/>
    </row>
    <row r="256">
      <c r="A256" s="11" t="inlineStr">
        <is>
          <t>IF-4.8</t>
        </is>
      </c>
      <c r="B256" s="12" t="inlineStr">
        <is>
          <t>The system shall support a locally maintained deny list, administered by the Facility Security Officer.</t>
        </is>
      </c>
      <c r="C256" s="6" t="n"/>
      <c r="D256" s="13" t="n"/>
    </row>
    <row r="257">
      <c r="A257" s="11" t="inlineStr">
        <is>
          <t>IF-4.9</t>
        </is>
      </c>
      <c r="B257" s="12" t="inlineStr">
        <is>
          <t>Watchlist query results shall be retained for twelve (12) months.</t>
        </is>
      </c>
      <c r="C257" s="6" t="n"/>
      <c r="D257" s="13" t="n"/>
    </row>
    <row r="258">
      <c r="A258" s="9" t="inlineStr">
        <is>
          <t>IF — 5. INTERFACE 4 — SURFACE RADAR AND AIS</t>
        </is>
      </c>
      <c r="B258" s="10" t="n"/>
      <c r="C258" s="10" t="n"/>
      <c r="D258" s="10" t="n"/>
    </row>
    <row r="259">
      <c r="A259" s="11" t="inlineStr">
        <is>
          <t>IF-5.1</t>
        </is>
      </c>
      <c r="B259" s="12" t="inlineStr">
        <is>
          <t>The Contractor shall integrate the waterside surface radar with the video management system such that a radar track within the defined security zone cues the nearest thermal camera and the nearest PTZ camera to the track position.</t>
        </is>
      </c>
      <c r="C259" s="6" t="n"/>
      <c r="D259" s="13" t="n"/>
    </row>
    <row r="260">
      <c r="A260" s="11" t="inlineStr">
        <is>
          <t>IF-5.2</t>
        </is>
      </c>
      <c r="B260" s="12" t="inlineStr">
        <is>
          <t>The Contractor shall integrate an Automatic Identification System receiver such that radar tracks correlated with a declared AIS vessel identity are distinguished in the operator display from uncorrelated tracks.</t>
        </is>
      </c>
      <c r="C260" s="6" t="n"/>
      <c r="D260" s="13" t="n"/>
    </row>
    <row r="261">
      <c r="A261" s="11" t="inlineStr">
        <is>
          <t>IF-5.3</t>
        </is>
      </c>
      <c r="B261" s="12" t="inlineStr">
        <is>
          <t>An uncorrelated track entering the security zone shall raise an alarm.</t>
        </is>
      </c>
      <c r="C261" s="6" t="n"/>
      <c r="D261" s="13" t="n"/>
    </row>
    <row r="262">
      <c r="A262" s="11" t="inlineStr">
        <is>
          <t>IF-5.4</t>
        </is>
      </c>
      <c r="B262" s="12" t="inlineStr">
        <is>
          <t>The AIS receiver is within the scope of this Contract.</t>
        </is>
      </c>
      <c r="C262" s="6" t="n"/>
      <c r="D262" s="13" t="n"/>
    </row>
    <row r="263">
      <c r="A263" s="9" t="inlineStr">
        <is>
          <t>IF — 6. INTERFACE 5 — FIRE ALARM SYSTEM</t>
        </is>
      </c>
      <c r="B263" s="10" t="n"/>
      <c r="C263" s="10" t="n"/>
      <c r="D263" s="10" t="n"/>
    </row>
    <row r="264">
      <c r="A264" s="11" t="inlineStr">
        <is>
          <t>IF-6.1</t>
        </is>
      </c>
      <c r="B264" s="12" t="inlineStr">
        <is>
          <t>The Contractor shall interface the access control system to the Site fire alarm system such that, on a fire alarm condition, all turnstiles release to free rotation and all electrically locked doors on designated egress routes unlock.</t>
        </is>
      </c>
      <c r="C264" s="6" t="n"/>
      <c r="D264" s="13" t="n"/>
    </row>
    <row r="265">
      <c r="A265" s="11" t="inlineStr">
        <is>
          <t>IF-6.2</t>
        </is>
      </c>
      <c r="B265" s="12" t="inlineStr">
        <is>
          <t>The interface shall be by hardwired fail-safe connection. A network interface shall not be used for this function.</t>
        </is>
      </c>
      <c r="C265" s="6" t="n"/>
      <c r="D265" s="13" t="n"/>
    </row>
    <row r="266">
      <c r="A266" s="11" t="inlineStr">
        <is>
          <t>IF-6.3</t>
        </is>
      </c>
      <c r="B266" s="12" t="inlineStr">
        <is>
          <t>The fire alarm system is provided by others.</t>
        </is>
      </c>
      <c r="C266" s="6" t="n"/>
      <c r="D266" s="13" t="n"/>
    </row>
    <row r="267">
      <c r="A267" s="9" t="inlineStr">
        <is>
          <t>IF — 7. INTERFACE 6 — AUTHORITY SECURITY INFORMATION AND EVENT MANAGEMENT</t>
        </is>
      </c>
      <c r="B267" s="10" t="n"/>
      <c r="C267" s="10" t="n"/>
      <c r="D267" s="10" t="n"/>
    </row>
    <row r="268">
      <c r="A268" s="11" t="inlineStr">
        <is>
          <t>IF-7.1</t>
        </is>
      </c>
      <c r="B268" s="12" t="inlineStr">
        <is>
          <t>The Contractor shall forward security-relevant logs from all supplied systems to the Authority's Security Information and Event Management platform.</t>
        </is>
      </c>
      <c r="C268" s="6" t="n"/>
      <c r="D268" s="13" t="n"/>
    </row>
    <row r="269">
      <c r="A269" s="11" t="inlineStr">
        <is>
          <t>IF-7.2</t>
        </is>
      </c>
      <c r="B269" s="12" t="inlineStr">
        <is>
          <t>Logs shall be forwarded in syslog or Common Event Format over a secure transport.</t>
        </is>
      </c>
      <c r="C269" s="6" t="n"/>
      <c r="D269" s="13" t="n"/>
    </row>
    <row r="270">
      <c r="A270" s="11" t="inlineStr">
        <is>
          <t>IF-7.3</t>
        </is>
      </c>
      <c r="B270" s="12" t="inlineStr">
        <is>
          <t>The Contractor shall agree the log content and format with the Authority's information technology department.</t>
        </is>
      </c>
      <c r="C270" s="6" t="n"/>
      <c r="D270" s="13" t="n"/>
    </row>
    <row r="271">
      <c r="A271" s="9" t="inlineStr">
        <is>
          <t>IF — 8. INTERFACE 7 — PHYSICAL SECURITY INFORMATION MANAGEMENT</t>
        </is>
      </c>
      <c r="B271" s="10" t="n"/>
      <c r="C271" s="10" t="n"/>
      <c r="D271" s="10" t="n"/>
    </row>
    <row r="272">
      <c r="A272" s="11" t="inlineStr">
        <is>
          <t>IF-8.1</t>
        </is>
      </c>
      <c r="B272" s="12" t="inlineStr">
        <is>
          <t>All supplied subsystems shall be integrated to the Physical Security Information Management platform, presenting alarms, device status, video and access events in a single operator interface.</t>
        </is>
      </c>
      <c r="C272" s="6" t="n"/>
      <c r="D272" s="13" t="n"/>
    </row>
    <row r="273">
      <c r="A273" s="11" t="inlineStr">
        <is>
          <t>IF-8.2</t>
        </is>
      </c>
      <c r="B273" s="12" t="inlineStr">
        <is>
          <t>The platform shall present each alarm with the associated live video, the relevant standard operating procedure, and a record of the operator's actions.</t>
        </is>
      </c>
      <c r="C273" s="6" t="n"/>
      <c r="D273" s="13" t="n"/>
    </row>
    <row r="274">
      <c r="A274" s="11" t="inlineStr">
        <is>
          <t>IF-8.3</t>
        </is>
      </c>
      <c r="B274" s="12" t="inlineStr">
        <is>
          <t>Integration shall be by the subsystem manufacturer's published interface. Where no published interface exists, the Contractor shall develop one.</t>
        </is>
      </c>
      <c r="C274" s="6" t="n"/>
      <c r="D274" s="13" t="n"/>
    </row>
    <row r="275">
      <c r="A275" s="11" t="inlineStr">
        <is>
          <t>IF-8.4</t>
        </is>
      </c>
      <c r="B275" s="12" t="inlineStr">
        <is>
          <t>The platform shall be capable of accepting a further subsystem in future without modification to existing integrations.</t>
        </is>
      </c>
      <c r="C275" s="6" t="n"/>
      <c r="D275" s="13" t="n"/>
    </row>
    <row r="276">
      <c r="A276" s="9" t="inlineStr">
        <is>
          <t>DOCUMENT 6 — CYBERSECURITY AND INFORMATION SECURITY</t>
        </is>
      </c>
      <c r="B276" s="10" t="n"/>
      <c r="C276" s="10" t="n"/>
      <c r="D276" s="10" t="n"/>
    </row>
    <row r="277">
      <c r="A277" s="9" t="inlineStr">
        <is>
          <t>CS — 1. REGULATORY BASIS</t>
        </is>
      </c>
      <c r="B277" s="10" t="n"/>
      <c r="C277" s="10" t="n"/>
      <c r="D277" s="10" t="n"/>
    </row>
    <row r="278">
      <c r="A278" s="11" t="inlineStr">
        <is>
          <t>CS-1.1</t>
        </is>
      </c>
      <c r="B278" s="12" t="inlineStr">
        <is>
          <t>The Site is a facility required to maintain a security plan under 33 CFR Part 105 and is accordingly subject to 33 CFR Part 101 Subpart F, Cybersecurity, published 17 January 2025 and effective 16 July 2025.</t>
        </is>
      </c>
      <c r="C278" s="6" t="n"/>
      <c r="D278" s="13" t="n"/>
    </row>
    <row r="279">
      <c r="A279" s="11" t="inlineStr">
        <is>
          <t>CS-1.2</t>
        </is>
      </c>
      <c r="B279" s="12" t="inlineStr">
        <is>
          <t>The Contractor shall ensure that the systems supplied under this Contract are capable of supporting the Authority's compliance with 33 CFR 101.650.</t>
        </is>
      </c>
      <c r="C279" s="6" t="n"/>
      <c r="D279" s="13" t="n"/>
    </row>
    <row r="280">
      <c r="A280" s="11" t="inlineStr">
        <is>
          <t>CS-1.3</t>
        </is>
      </c>
      <c r="B280" s="12" t="inlineStr">
        <is>
          <t>The Contractor shall prepare the Cybersecurity Plan required by 33 CFR 101.630 in respect of the Works, and shall submit it to the United States Coast Guard for approval prior to Final Acceptance.</t>
        </is>
      </c>
      <c r="C280" s="6" t="n"/>
      <c r="D280" s="13" t="n"/>
    </row>
    <row r="281">
      <c r="A281" s="11" t="inlineStr">
        <is>
          <t>CS-1.4</t>
        </is>
      </c>
      <c r="B281" s="12" t="inlineStr">
        <is>
          <t>The Contractor shall designate a Cybersecurity Officer for the Works and shall notify the Authority of that designation in writing.</t>
        </is>
      </c>
      <c r="C281" s="6" t="n"/>
      <c r="D281" s="13" t="n"/>
    </row>
    <row r="282">
      <c r="A282" s="11" t="inlineStr">
        <is>
          <t>CS-1.5</t>
        </is>
      </c>
      <c r="B282" s="12" t="inlineStr">
        <is>
          <t>The Contractor shall report any reportable cyber incident affecting the Works in accordance with 33 CFR 101.645, and shall notify the Authority immediately upon becoming aware of such an incident.</t>
        </is>
      </c>
      <c r="C282" s="6" t="n"/>
      <c r="D282" s="13" t="n"/>
    </row>
    <row r="283">
      <c r="A283" s="11" t="inlineStr">
        <is>
          <t>CS-1.6</t>
        </is>
      </c>
      <c r="B283" s="12" t="inlineStr">
        <is>
          <t>Requirements of the Cybersecurity Maturity Model Certification programme do not apply to this Contract.</t>
        </is>
      </c>
      <c r="C283" s="6" t="n"/>
      <c r="D283" s="13" t="n"/>
    </row>
    <row r="284">
      <c r="A284" s="9" t="inlineStr">
        <is>
          <t>CS — 2. ARCHITECTURE AND SEGMENTATION</t>
        </is>
      </c>
      <c r="B284" s="10" t="n"/>
      <c r="C284" s="10" t="n"/>
      <c r="D284" s="10" t="n"/>
    </row>
    <row r="285">
      <c r="A285" s="11" t="inlineStr">
        <is>
          <t>CS-2.1</t>
        </is>
      </c>
      <c r="B285" s="12" t="inlineStr">
        <is>
          <t>The security network shall be physically separate from the terminal operational technology network and from the Authority's business information technology network.</t>
        </is>
      </c>
      <c r="C285" s="6" t="n"/>
      <c r="D285" s="13" t="n"/>
    </row>
    <row r="286">
      <c r="A286" s="11" t="inlineStr">
        <is>
          <t>CS-2.2</t>
        </is>
      </c>
      <c r="B286" s="12" t="inlineStr">
        <is>
          <t>Where a connection between the security network and any other network is required for an interface described in Document 5, it shall be made through a firewall configured to permit only the specific flows required.</t>
        </is>
      </c>
      <c r="C286" s="6" t="n"/>
      <c r="D286" s="13" t="n"/>
    </row>
    <row r="287">
      <c r="A287" s="11" t="inlineStr">
        <is>
          <t>CS-2.3</t>
        </is>
      </c>
      <c r="B287" s="12" t="inlineStr">
        <is>
          <t>Each subsystem shall be placed in its own VLAN. Inter-VLAN traffic shall be permitted only where required and shall be documented in the Interface Control Documents.</t>
        </is>
      </c>
      <c r="C287" s="6" t="n"/>
      <c r="D287" s="13" t="n"/>
    </row>
    <row r="288">
      <c r="A288" s="11" t="inlineStr">
        <is>
          <t>CS-2.4</t>
        </is>
      </c>
      <c r="B288" s="12" t="inlineStr">
        <is>
          <t>Field devices shall not be able to initiate connections to the head end other than those required for their function.</t>
        </is>
      </c>
      <c r="C288" s="6" t="n"/>
      <c r="D288" s="13" t="n"/>
    </row>
    <row r="289">
      <c r="A289" s="11" t="inlineStr">
        <is>
          <t>CS-2.5</t>
        </is>
      </c>
      <c r="B289" s="12" t="inlineStr">
        <is>
          <t>Remote access for maintenance shall be by a jump host with multi-factor authentication, session recording, and the Authority's prior approval for each session.</t>
        </is>
      </c>
      <c r="C289" s="6" t="n"/>
      <c r="D289" s="13" t="n"/>
    </row>
    <row r="290">
      <c r="A290" s="11" t="inlineStr">
        <is>
          <t>CS-2.6</t>
        </is>
      </c>
      <c r="B290" s="12" t="inlineStr">
        <is>
          <t>No system shall be connected to the public internet.</t>
        </is>
      </c>
      <c r="C290" s="6" t="n"/>
      <c r="D290" s="13" t="n"/>
    </row>
    <row r="291">
      <c r="A291" s="11" t="inlineStr">
        <is>
          <t>CS-2.7</t>
        </is>
      </c>
      <c r="B291" s="12" t="inlineStr">
        <is>
          <t>The architecture shall follow the guidance of NIST SP 800-82 for operational technology security and shall be described with reference to NIST Cybersecurity Framework 2.0.</t>
        </is>
      </c>
      <c r="C291" s="6" t="n"/>
      <c r="D291" s="13" t="n"/>
    </row>
    <row r="292">
      <c r="A292" s="11" t="inlineStr">
        <is>
          <t>CS-2.8</t>
        </is>
      </c>
      <c r="B292" s="12" t="inlineStr">
        <is>
          <t>The Contractor may have regard to IEC 62443-3-3 in establishing system security levels. Certification to IEC 62443 is not required.</t>
        </is>
      </c>
      <c r="C292" s="6" t="n"/>
      <c r="D292" s="13" t="n"/>
    </row>
    <row r="293">
      <c r="A293" s="9" t="inlineStr">
        <is>
          <t>CS — 3. DEVICE AND ACCOUNT SECURITY</t>
        </is>
      </c>
      <c r="B293" s="10" t="n"/>
      <c r="C293" s="10" t="n"/>
      <c r="D293" s="10" t="n"/>
    </row>
    <row r="294">
      <c r="A294" s="11" t="inlineStr">
        <is>
          <t>CS-3.1</t>
        </is>
      </c>
      <c r="B294" s="12" t="inlineStr">
        <is>
          <t>No device shall be placed into service with a default or manufacturer-set credential.</t>
        </is>
      </c>
      <c r="C294" s="6" t="n"/>
      <c r="D294" s="13" t="n"/>
    </row>
    <row r="295">
      <c r="A295" s="11" t="inlineStr">
        <is>
          <t>CS-3.2</t>
        </is>
      </c>
      <c r="B295" s="12" t="inlineStr">
        <is>
          <t>All field-connected devices shall authenticate to the network using IEEE 802.1X with certificate-based authentication.</t>
        </is>
      </c>
      <c r="C295" s="6" t="n"/>
      <c r="D295" s="13" t="n"/>
    </row>
    <row r="296">
      <c r="A296" s="11" t="inlineStr">
        <is>
          <t>CS-3.3</t>
        </is>
      </c>
      <c r="B296" s="12" t="inlineStr">
        <is>
          <t>The Contractor shall supply and commission a certificate management capability for the issue, renewal and revocation of device certificates.</t>
        </is>
      </c>
      <c r="C296" s="6" t="n"/>
      <c r="D296" s="13" t="n"/>
    </row>
    <row r="297">
      <c r="A297" s="11" t="inlineStr">
        <is>
          <t>CS-3.4</t>
        </is>
      </c>
      <c r="B297" s="12" t="inlineStr">
        <is>
          <t>All administrative access shall require multi-factor authentication.</t>
        </is>
      </c>
      <c r="C297" s="6" t="n"/>
      <c r="D297" s="13" t="n"/>
    </row>
    <row r="298">
      <c r="A298" s="11" t="inlineStr">
        <is>
          <t>CS-3.5</t>
        </is>
      </c>
      <c r="B298" s="12" t="inlineStr">
        <is>
          <t>Accounts shall be individually attributable. Shared accounts shall not be used.</t>
        </is>
      </c>
      <c r="C298" s="6" t="n"/>
      <c r="D298" s="13" t="n"/>
    </row>
    <row r="299">
      <c r="A299" s="11" t="inlineStr">
        <is>
          <t>CS-3.6</t>
        </is>
      </c>
      <c r="B299" s="12" t="inlineStr">
        <is>
          <t>Role-based access control shall be implemented, with the minimum privilege necessary for each role.</t>
        </is>
      </c>
      <c r="C299" s="6" t="n"/>
      <c r="D299" s="13" t="n"/>
    </row>
    <row r="300">
      <c r="A300" s="11" t="inlineStr">
        <is>
          <t>CS-3.7</t>
        </is>
      </c>
      <c r="B300" s="12" t="inlineStr">
        <is>
          <t>All devices shall accept only firmware that is cryptographically signed by the manufacturer.</t>
        </is>
      </c>
      <c r="C300" s="6" t="n"/>
      <c r="D300" s="13" t="n"/>
    </row>
    <row r="301">
      <c r="A301" s="11" t="inlineStr">
        <is>
          <t>CS-3.8</t>
        </is>
      </c>
      <c r="B301" s="12" t="inlineStr">
        <is>
          <t>Cryptographic modules protecting credential data and video shall be FIPS 140-3 validated.</t>
        </is>
      </c>
      <c r="C301" s="6" t="n"/>
      <c r="D301" s="13" t="n"/>
    </row>
    <row r="302">
      <c r="A302" s="11" t="inlineStr">
        <is>
          <t>CS-3.9</t>
        </is>
      </c>
      <c r="B302" s="12" t="inlineStr">
        <is>
          <t>Unused physical ports and services shall be disabled.</t>
        </is>
      </c>
      <c r="C302" s="6" t="n"/>
      <c r="D302" s="13" t="n"/>
    </row>
    <row r="303">
      <c r="A303" s="9" t="inlineStr">
        <is>
          <t>CS — 4. SOFTWARE SUPPLY CHAIN</t>
        </is>
      </c>
      <c r="B303" s="10" t="n"/>
      <c r="C303" s="10" t="n"/>
      <c r="D303" s="10" t="n"/>
    </row>
    <row r="304">
      <c r="A304" s="11" t="inlineStr">
        <is>
          <t>CS-4.1</t>
        </is>
      </c>
      <c r="B304" s="12" t="inlineStr">
        <is>
          <t>The Contractor shall deliver a Software Bill of Materials for every software component supplied, in CycloneDX or SPDX format, at Final Acceptance and on each subsequent software change.</t>
        </is>
      </c>
      <c r="C304" s="6" t="n"/>
      <c r="D304" s="13" t="n"/>
    </row>
    <row r="305">
      <c r="A305" s="11" t="inlineStr">
        <is>
          <t>CS-4.2</t>
        </is>
      </c>
      <c r="B305" s="12" t="inlineStr">
        <is>
          <t>The Software Bill of Materials shall enumerate all direct and transitive dependencies, with version identifiers.</t>
        </is>
      </c>
      <c r="C305" s="6" t="n"/>
      <c r="D305" s="13" t="n"/>
    </row>
    <row r="306">
      <c r="A306" s="11" t="inlineStr">
        <is>
          <t>CS-4.3</t>
        </is>
      </c>
      <c r="B306" s="12" t="inlineStr">
        <is>
          <t>The Contractor shall confirm that no component originates from an entity named at ITB-12.2.</t>
        </is>
      </c>
      <c r="C306" s="6" t="n"/>
      <c r="D306" s="13" t="n"/>
    </row>
    <row r="307">
      <c r="A307" s="11" t="inlineStr">
        <is>
          <t>CS-4.4</t>
        </is>
      </c>
      <c r="B307" s="12" t="inlineStr">
        <is>
          <t>The Contractor shall notify the Authority of any component that reaches end of support during the warranty period.</t>
        </is>
      </c>
      <c r="C307" s="6" t="n"/>
      <c r="D307" s="13" t="n"/>
    </row>
    <row r="308">
      <c r="A308" s="9" t="inlineStr">
        <is>
          <t>CS — 5. VULNERABILITY MANAGEMENT AND PATCHING</t>
        </is>
      </c>
      <c r="B308" s="10" t="n"/>
      <c r="C308" s="10" t="n"/>
      <c r="D308" s="10" t="n"/>
    </row>
    <row r="309">
      <c r="A309" s="11" t="inlineStr">
        <is>
          <t>CS-5.1</t>
        </is>
      </c>
      <c r="B309" s="12" t="inlineStr">
        <is>
          <t>The Contractor shall monitor manufacturer and CISA advisories for vulnerabilities affecting any supplied component.</t>
        </is>
      </c>
      <c r="C309" s="6" t="n"/>
      <c r="D309" s="13" t="n"/>
    </row>
    <row r="310">
      <c r="A310" s="11" t="inlineStr">
        <is>
          <t>CS-5.2</t>
        </is>
      </c>
      <c r="B310" s="12" t="inlineStr">
        <is>
          <t>The Contractor shall apply security patches to all supplied software and firmware throughout the warranty period.</t>
        </is>
      </c>
      <c r="C310" s="6" t="n"/>
      <c r="D310" s="13" t="n"/>
    </row>
    <row r="311">
      <c r="A311" s="11" t="inlineStr">
        <is>
          <t>CS-5.3</t>
        </is>
      </c>
      <c r="B311" s="12" t="inlineStr">
        <is>
          <t>The Contractor shall maintain all supplied software at a currently supported release.</t>
        </is>
      </c>
      <c r="C311" s="6" t="n"/>
      <c r="D311" s="13" t="n"/>
    </row>
    <row r="312">
      <c r="A312" s="11" t="inlineStr">
        <is>
          <t>CS-5.4</t>
        </is>
      </c>
      <c r="B312" s="12" t="inlineStr">
        <is>
          <t>Patches shall be applied in accordance with industry best practice.</t>
        </is>
      </c>
      <c r="C312" s="6" t="n"/>
      <c r="D312" s="13" t="n"/>
    </row>
    <row r="313">
      <c r="A313" s="11" t="inlineStr">
        <is>
          <t>CS-5.5</t>
        </is>
      </c>
      <c r="B313" s="12" t="inlineStr">
        <is>
          <t>The Contractor shall submit a quarterly vulnerability report listing all CVEs affecting supplied components, their CVSS scores, and the remediation status of each.</t>
        </is>
      </c>
      <c r="C313" s="6" t="n"/>
      <c r="D313" s="13" t="n"/>
    </row>
    <row r="314">
      <c r="A314" s="11" t="inlineStr">
        <is>
          <t>CS-5.6</t>
        </is>
      </c>
      <c r="B314" s="12" t="inlineStr">
        <is>
          <t>Patching shall not be performed without the Authority's prior approval of a change request and shall be performed within an agreed maintenance window.</t>
        </is>
      </c>
      <c r="C314" s="6" t="n"/>
      <c r="D314" s="13" t="n"/>
    </row>
    <row r="315">
      <c r="A315" s="9" t="inlineStr">
        <is>
          <t>CS — 6. TESTING</t>
        </is>
      </c>
      <c r="B315" s="10" t="n"/>
      <c r="C315" s="10" t="n"/>
      <c r="D315" s="10" t="n"/>
    </row>
    <row r="316">
      <c r="A316" s="11" t="inlineStr">
        <is>
          <t>CS-6.1</t>
        </is>
      </c>
      <c r="B316" s="12" t="inlineStr">
        <is>
          <t>The Contractor shall arrange, at its own cost, an independent penetration test of the delivered systems prior to Final Acceptance.</t>
        </is>
      </c>
      <c r="C316" s="6" t="n"/>
      <c r="D316" s="13" t="n"/>
    </row>
    <row r="317">
      <c r="A317" s="11" t="inlineStr">
        <is>
          <t>CS-6.2</t>
        </is>
      </c>
      <c r="B317" s="12" t="inlineStr">
        <is>
          <t>The penetration test shall be performed by a firm not connected with the Contractor, approved by the Authority.</t>
        </is>
      </c>
      <c r="C317" s="6" t="n"/>
      <c r="D317" s="13" t="n"/>
    </row>
    <row r="318">
      <c r="A318" s="11" t="inlineStr">
        <is>
          <t>CS-6.3</t>
        </is>
      </c>
      <c r="B318" s="12" t="inlineStr">
        <is>
          <t>The scope shall include the security network, the video management system, the access control system, the pre-gate systems and all interfaces described in Document 5.</t>
        </is>
      </c>
      <c r="C318" s="6" t="n"/>
      <c r="D318" s="13" t="n"/>
    </row>
    <row r="319">
      <c r="A319" s="11" t="inlineStr">
        <is>
          <t>CS-6.4</t>
        </is>
      </c>
      <c r="B319" s="12" t="inlineStr">
        <is>
          <t>All findings rated High or Critical shall be remediated and retested before Final Acceptance.</t>
        </is>
      </c>
      <c r="C319" s="6" t="n"/>
      <c r="D319" s="13" t="n"/>
    </row>
    <row r="320">
      <c r="A320" s="11" t="inlineStr">
        <is>
          <t>CS-6.5</t>
        </is>
      </c>
      <c r="B320" s="12" t="inlineStr">
        <is>
          <t>The penetration test report is Sensitive Security Information and shall be handled in accordance with Annex C.</t>
        </is>
      </c>
      <c r="C320" s="6" t="n"/>
      <c r="D320" s="13" t="n"/>
    </row>
    <row r="321">
      <c r="A321" s="9" t="inlineStr">
        <is>
          <t>CS — 7. LOGGING AND MONITORING</t>
        </is>
      </c>
      <c r="B321" s="10" t="n"/>
      <c r="C321" s="10" t="n"/>
      <c r="D321" s="10" t="n"/>
    </row>
    <row r="322">
      <c r="A322" s="11" t="inlineStr">
        <is>
          <t>CS-7.1</t>
        </is>
      </c>
      <c r="B322" s="12" t="inlineStr">
        <is>
          <t>All systems shall generate logs of authentication events, configuration changes, administrative actions and security-relevant system events.</t>
        </is>
      </c>
      <c r="C322" s="6" t="n"/>
      <c r="D322" s="13" t="n"/>
    </row>
    <row r="323">
      <c r="A323" s="11" t="inlineStr">
        <is>
          <t>CS-7.2</t>
        </is>
      </c>
      <c r="B323" s="12" t="inlineStr">
        <is>
          <t>Logs shall be forwarded to the Authority's Security Information and Event Management platform in accordance with IF-7.</t>
        </is>
      </c>
      <c r="C323" s="6" t="n"/>
      <c r="D323" s="13" t="n"/>
    </row>
    <row r="324">
      <c r="A324" s="11" t="inlineStr">
        <is>
          <t>CS-7.3</t>
        </is>
      </c>
      <c r="B324" s="12" t="inlineStr">
        <is>
          <t>Logs shall be retained locally for not less than ninety (90) days.</t>
        </is>
      </c>
      <c r="C324" s="6" t="n"/>
      <c r="D324" s="13" t="n"/>
    </row>
    <row r="325">
      <c r="A325" s="11" t="inlineStr">
        <is>
          <t>CS-7.4</t>
        </is>
      </c>
      <c r="B325" s="12" t="inlineStr">
        <is>
          <t>Time on all systems shall be synchronised to a common authenticated time source.</t>
        </is>
      </c>
      <c r="C325" s="6" t="n"/>
      <c r="D325" s="13" t="n"/>
    </row>
    <row r="326">
      <c r="A326" s="9" t="inlineStr">
        <is>
          <t>CS — 8. SENSITIVE SECURITY INFORMATION</t>
        </is>
      </c>
      <c r="B326" s="10" t="n"/>
      <c r="C326" s="10" t="n"/>
      <c r="D326" s="10" t="n"/>
    </row>
    <row r="327">
      <c r="A327" s="11" t="inlineStr">
        <is>
          <t>CS-8.1</t>
        </is>
      </c>
      <c r="B327" s="12" t="inlineStr">
        <is>
          <t>The Contractor and each of its personnel and subcontractors is a covered person within the meaning of 49 CFR 1520.7.</t>
        </is>
      </c>
      <c r="C327" s="6" t="n"/>
      <c r="D327" s="13" t="n"/>
    </row>
    <row r="328">
      <c r="A328" s="11" t="inlineStr">
        <is>
          <t>CS-8.2</t>
        </is>
      </c>
      <c r="B328" s="12" t="inlineStr">
        <is>
          <t>The Contractor shall handle all Sensitive Security Information in accordance with 49 CFR Part 1520 and Annex C.</t>
        </is>
      </c>
      <c r="C328" s="6" t="n"/>
      <c r="D328" s="13" t="n"/>
    </row>
    <row r="329">
      <c r="A329" s="11" t="inlineStr">
        <is>
          <t>CS-8.3</t>
        </is>
      </c>
      <c r="B329" s="12" t="inlineStr">
        <is>
          <t>All records containing Sensitive Security Information shall be marked with the protective marking and distribution limitation statement required by 49 CFR 1520.13.</t>
        </is>
      </c>
      <c r="C329" s="6" t="n"/>
      <c r="D329" s="13" t="n"/>
    </row>
    <row r="330">
      <c r="A330" s="11" t="inlineStr">
        <is>
          <t>CS-8.4</t>
        </is>
      </c>
      <c r="B330" s="12" t="inlineStr">
        <is>
          <t>Sensitive Security Information shall be transmitted only by means approved by the Authority. Personal electronic mail accounts, consumer file-sharing services and unencrypted portable media shall not be used.</t>
        </is>
      </c>
      <c r="C330" s="6" t="n"/>
      <c r="D330" s="13" t="n"/>
    </row>
    <row r="331">
      <c r="A331" s="11" t="inlineStr">
        <is>
          <t>CS-8.5</t>
        </is>
      </c>
      <c r="B331" s="12" t="inlineStr">
        <is>
          <t>Sensitive Security Information shall be stored on systems under the Contractor's control, located within the United States.</t>
        </is>
      </c>
      <c r="C331" s="6" t="n"/>
      <c r="D331" s="13" t="n"/>
    </row>
    <row r="332">
      <c r="A332" s="11" t="inlineStr">
        <is>
          <t>CS-8.6</t>
        </is>
      </c>
      <c r="B332" s="12" t="inlineStr">
        <is>
          <t>The Contractor shall maintain a register of every person to whom Sensitive Security Information has been disclosed.</t>
        </is>
      </c>
      <c r="C332" s="6" t="n"/>
      <c r="D332" s="13" t="n"/>
    </row>
    <row r="333">
      <c r="A333" s="11" t="inlineStr">
        <is>
          <t>CS-8.7</t>
        </is>
      </c>
      <c r="B333" s="12" t="inlineStr">
        <is>
          <t>The Contractor shall notify the Authority within twenty-four (24) hours of any actual or suspected unauthorised disclosure.</t>
        </is>
      </c>
      <c r="C333" s="6" t="n"/>
      <c r="D333" s="13" t="n"/>
    </row>
    <row r="334">
      <c r="A334" s="11" t="inlineStr">
        <is>
          <t>CS-8.8</t>
        </is>
      </c>
      <c r="B334" s="12" t="inlineStr">
        <is>
          <t>On completion of the Contract, the Contractor shall return or destroy all Sensitive Security Information and shall certify the same.</t>
        </is>
      </c>
      <c r="C334" s="6" t="n"/>
      <c r="D334" s="13" t="n"/>
    </row>
    <row r="335">
      <c r="A335" s="9" t="inlineStr">
        <is>
          <t>CS — 9. PERSONNEL</t>
        </is>
      </c>
      <c r="B335" s="10" t="n"/>
      <c r="C335" s="10" t="n"/>
      <c r="D335" s="10" t="n"/>
    </row>
    <row r="336">
      <c r="A336" s="11" t="inlineStr">
        <is>
          <t>CS-9.1</t>
        </is>
      </c>
      <c r="B336" s="12" t="inlineStr">
        <is>
          <t>Every member of the Contractor's personnel with access to Sensitive Security Information shall have a demonstrable need to know.</t>
        </is>
      </c>
      <c r="C336" s="6" t="n"/>
      <c r="D336" s="13" t="n"/>
    </row>
    <row r="337">
      <c r="A337" s="11" t="inlineStr">
        <is>
          <t>CS-9.2</t>
        </is>
      </c>
      <c r="B337" s="12" t="inlineStr">
        <is>
          <t>The Contractor shall satisfy itself as to the suitability of each such person.</t>
        </is>
      </c>
      <c r="C337" s="6" t="n"/>
      <c r="D337" s="13" t="n"/>
    </row>
    <row r="338">
      <c r="A338" s="11" t="inlineStr">
        <is>
          <t>CS-9.3</t>
        </is>
      </c>
      <c r="B338" s="12" t="inlineStr">
        <is>
          <t>The Contractor shall notify the Authority when any person with access to Sensitive Security Information leaves the project or the Contractor's employment.</t>
        </is>
      </c>
      <c r="C338" s="6" t="n"/>
      <c r="D338" s="13" t="n"/>
    </row>
    <row r="339">
      <c r="A339" s="11" t="inlineStr">
        <is>
          <t>CS-9.4</t>
        </is>
      </c>
      <c r="B339" s="12" t="inlineStr">
        <is>
          <t>The Cybersecurity Lead identified at SOW-3.1 shall hold a current CISSP, GICSP or equivalent certification.</t>
        </is>
      </c>
      <c r="C339" s="6" t="n"/>
      <c r="D339" s="13" t="n"/>
    </row>
    <row r="340">
      <c r="A340" s="9" t="inlineStr">
        <is>
          <t>CS — 10. TRAINING</t>
        </is>
      </c>
      <c r="B340" s="10" t="n"/>
      <c r="C340" s="10" t="n"/>
      <c r="D340" s="10" t="n"/>
    </row>
    <row r="341">
      <c r="A341" s="11" t="inlineStr">
        <is>
          <t>CS-10.1</t>
        </is>
      </c>
      <c r="B341" s="12" t="inlineStr">
        <is>
          <t>The Contractor shall deliver cybersecurity training to the Authority's information technology personnel and to the Authority's Cybersecurity Officer, as scheduled at SOW-10.1.</t>
        </is>
      </c>
      <c r="C341" s="6" t="n"/>
      <c r="D341" s="13" t="n"/>
    </row>
    <row r="342">
      <c r="A342" s="11" t="inlineStr">
        <is>
          <t>CS-10.2</t>
        </is>
      </c>
      <c r="B342" s="12" t="inlineStr">
        <is>
          <t>Training shall cover the architecture, the security controls implemented, the incident response procedure, the patching regime and the log sources.</t>
        </is>
      </c>
      <c r="C342" s="6" t="n"/>
      <c r="D342" s="13" t="n"/>
    </row>
    <row r="343">
      <c r="A343" s="11" t="inlineStr">
        <is>
          <t>CS-10.3</t>
        </is>
      </c>
      <c r="B343" s="12" t="inlineStr">
        <is>
          <t>The Contractor shall provide the Authority with the material necessary to satisfy the training obligation at 33 CFR 101.650(d)(4) in respect of the supplied systems.</t>
        </is>
      </c>
      <c r="C343" s="6" t="n"/>
      <c r="D343" s="13" t="n"/>
    </row>
    <row r="345">
      <c r="B345" s="2" t="inlineStr">
        <is>
          <t>END OF MATRIX — the Bidder shall not add rows.</t>
        </is>
      </c>
    </row>
  </sheetData>
  <mergeCells count="31">
    <mergeCell ref="A263:D263"/>
    <mergeCell ref="A321:D321"/>
    <mergeCell ref="A303:D303"/>
    <mergeCell ref="A224:D224"/>
    <mergeCell ref="A200:D200"/>
    <mergeCell ref="A293:D293"/>
    <mergeCell ref="A308:D308"/>
    <mergeCell ref="A211:D211"/>
    <mergeCell ref="A176:D176"/>
    <mergeCell ref="A258:D258"/>
    <mergeCell ref="A276:D276"/>
    <mergeCell ref="A232:D232"/>
    <mergeCell ref="A15:D15"/>
    <mergeCell ref="A284:D284"/>
    <mergeCell ref="A340:D340"/>
    <mergeCell ref="A225:D225"/>
    <mergeCell ref="A132:D132"/>
    <mergeCell ref="A315:D315"/>
    <mergeCell ref="A218:D218"/>
    <mergeCell ref="A271:D271"/>
    <mergeCell ref="A25:D25"/>
    <mergeCell ref="A277:D277"/>
    <mergeCell ref="A46:D46"/>
    <mergeCell ref="A335:D335"/>
    <mergeCell ref="A326:D326"/>
    <mergeCell ref="A189:D189"/>
    <mergeCell ref="A267:D267"/>
    <mergeCell ref="A248:D248"/>
    <mergeCell ref="A104:D104"/>
    <mergeCell ref="A242:D242"/>
    <mergeCell ref="A14:D14"/>
  </mergeCells>
  <dataValidations count="1">
    <dataValidation sqref="C14:C343" showDropDown="0" showInputMessage="0" showErrorMessage="0" allowBlank="1" errorTitle="Invalid entry" error="Enter Yes or No only."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2026-09-13T16:40:28Z</dcterms:created>
  <dcterms:modified xmlns:dcterms="http://purl.org/dc/terms/" xmlns:xsi="http://www.w3.org/2001/XMLSchema-instance" xsi:type="dcterms:W3CDTF">2026-09-13T16:40:28Z</dcterms:modified>
</cp:coreProperties>
</file>